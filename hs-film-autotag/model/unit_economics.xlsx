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Benchmark" sheetId="3" state="visible" r:id="rId5"/>
    <sheet name="UnitEcon" sheetId="4" state="visible" r:id="rId6"/>
    <sheet name="Sensitivity" sheetId="5" state="visible" r:id="rId7"/>
    <sheet name="Monthly" sheetId="6" state="visible" r:id="rId8"/>
    <sheet name="Market" sheetId="7" state="visible" r:id="rId9"/>
    <sheet name="Adop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<sst xmlns="http://schemas.openxmlformats.org/spreadsheetml/2006/main" count="428" uniqueCount="330">
  <si>
    <t xml:space="preserve">Auto-tagging HS football film: pricing and unit economics</t>
  </si>
  <si>
    <t xml:space="preserve">Built by hs-film-autotag/model/build_workbook.py on 2026-10-23</t>
  </si>
  <si>
    <t xml:space="preserve">Colour code: blue = hardcoded input or measurement; black = formula; green = link to another sheet; yellow fill = key assumption.</t>
  </si>
  <si>
    <t xml:space="preserve">Edit only blue cells on Inputs (and Benchmark if you re-run the benchmark). Everything else recalculates.</t>
  </si>
  <si>
    <t xml:space="preserve">Sheets</t>
  </si>
  <si>
    <t xml:space="preserve">Inputs: prices, usage, compute, storage, support, CAC, churn, fixed costs, seasonality.</t>
  </si>
  <si>
    <t xml:space="preserve">Benchmark: measured CPU timings on a CC BY-NC-SA 1080p high school game (no GPU in the test box).</t>
  </si>
  <si>
    <t xml:space="preserve">UnitEcon: cost per game, latency check, gross margin, LTV, CAC payback.</t>
  </si>
  <si>
    <t xml:space="preserve">Sensitivity: four two-way tables (price x compute, churn x CAC, detector x frames, price x cost base).</t>
  </si>
  <si>
    <t xml:space="preserve">Monthly: 48-month cash model with football seasonality and August billing.</t>
  </si>
  <si>
    <t xml:space="preserve">Market: bottom-up segment sizes.</t>
  </si>
  <si>
    <t xml:space="preserve">Adoption: outputs of the Monte Carlo adoption model (priors, not evidence).</t>
  </si>
  <si>
    <t xml:space="preserve">Main caveat: accuracy on core columns is not measured here. It is the largest unknown and is what the 90-day plan tests.</t>
  </si>
  <si>
    <t xml:space="preserve">Inputs and assumptions (blue = input, yellow = key assumption, green = link)</t>
  </si>
  <si>
    <t xml:space="preserve">Change blue cells only. Every other sheet recalculates from here and from Benchmark.</t>
  </si>
  <si>
    <t xml:space="preserve">Pricing</t>
  </si>
  <si>
    <t xml:space="preserve">Price per program per season</t>
  </si>
  <si>
    <t xml:space="preserve">$/program/season</t>
  </si>
  <si>
    <t xml:space="preserve">Model choice. Anchors: MaxPreps Advantage $600/team/season; Balltime HS $499/season; Hudl Silver+ with Assist $1,500/program/yr (hudl.com/pricing/high-school)</t>
  </si>
  <si>
    <t xml:space="preserve">Payment processing and collections</t>
  </si>
  <si>
    <t xml:space="preserve">% of price</t>
  </si>
  <si>
    <t xml:space="preserve">Assumption: blend of card, ACH and paper checks</t>
  </si>
  <si>
    <t xml:space="preserve">Usage per program per season</t>
  </si>
  <si>
    <t xml:space="preserve">Own games broken down</t>
  </si>
  <si>
    <t xml:space="preserve">games</t>
  </si>
  <si>
    <t xml:space="preserve">Assumption: UIL 10-game regular season plus average playoff run</t>
  </si>
  <si>
    <t xml:space="preserve">Opponent (scout) games broken down</t>
  </si>
  <si>
    <t xml:space="preserve">Assumption: ~1.5 opponent games/week; Hudl says coaches break down 2+ games/week in total</t>
  </si>
  <si>
    <t xml:space="preserve">Scrimmages, spring game</t>
  </si>
  <si>
    <t xml:space="preserve">Assumption</t>
  </si>
  <si>
    <t xml:space="preserve">Plays per game (both teams, incl. special teams)</t>
  </si>
  <si>
    <t xml:space="preserve">plays</t>
  </si>
  <si>
    <t xml:space="preserve">Benchmark segment: 10 plays in 10 min; one program logged 615 offensive plays in 10 games (theteamroom.substack.com)</t>
  </si>
  <si>
    <t xml:space="preserve">Seconds of video per play clip</t>
  </si>
  <si>
    <t xml:space="preserve">s</t>
  </si>
  <si>
    <t xml:space="preserve">Assumption: pre-snap to whistle</t>
  </si>
  <si>
    <t xml:space="preserve">Camera angles processed per play</t>
  </si>
  <si>
    <t xml:space="preserve">angles</t>
  </si>
  <si>
    <t xml:space="preserve">Sideline only. Set 2 to also process end zone</t>
  </si>
  <si>
    <t xml:space="preserve">Share of games arriving as continuous (unclipped) film</t>
  </si>
  <si>
    <t xml:space="preserve">%</t>
  </si>
  <si>
    <t xml:space="preserve">Assumption: tripod/Focus-style recordings vs Hudl cut-ups</t>
  </si>
  <si>
    <t xml:space="preserve">Length of continuous film per game</t>
  </si>
  <si>
    <t xml:space="preserve">hours</t>
  </si>
  <si>
    <t xml:space="preserve">Benchmark source game ran 8,029 s (2.2 h) including halftime</t>
  </si>
  <si>
    <t xml:space="preserve">Compute (per play)</t>
  </si>
  <si>
    <t xml:space="preserve">Detector used</t>
  </si>
  <si>
    <t xml:space="preserve">yolo11s_640_tiled3</t>
  </si>
  <si>
    <t xml:space="preserve">key</t>
  </si>
  <si>
    <t xml:space="preserve">Pick a key from the Benchmark table</t>
  </si>
  <si>
    <t xml:space="preserve">Detector frames per play</t>
  </si>
  <si>
    <t xml:space="preserve">frames</t>
  </si>
  <si>
    <t xml:space="preserve">3 pre-snap (formation, personnel) + 6 post-snap at 2 fps (play type, direction, result)</t>
  </si>
  <si>
    <t xml:space="preserve">Registration frames per play</t>
  </si>
  <si>
    <t xml:space="preserve">Field lines at snap and at play end</t>
  </si>
  <si>
    <t xml:space="preserve">Orchestration, retries and I/O overhead</t>
  </si>
  <si>
    <t xml:space="preserve">x</t>
  </si>
  <si>
    <t xml:space="preserve">vCPU-hour price</t>
  </si>
  <si>
    <t xml:space="preserve">$/vCPU-h</t>
  </si>
  <si>
    <t xml:space="preserve">AWS c7i.xlarge on-demand $0.1785/h for 4 vCPU, us-east-1 (calculator.holori.com, Jul 2026)</t>
  </si>
  <si>
    <t xml:space="preserve">GPU-hour price (T4, for the GPU alternative)</t>
  </si>
  <si>
    <t xml:space="preserve">$/GPU-h</t>
  </si>
  <si>
    <t xml:space="preserve">AWS g4dn.xlarge on-demand, us-east-1 (calculator.holori.com); spot ~$0.23-0.26</t>
  </si>
  <si>
    <t xml:space="preserve">vCPUs per game job (fan-out)</t>
  </si>
  <si>
    <t xml:space="preserve">vCPU</t>
  </si>
  <si>
    <t xml:space="preserve">Plays are independent, so a game splits across workers</t>
  </si>
  <si>
    <t xml:space="preserve">Coach upload bandwidth</t>
  </si>
  <si>
    <t xml:space="preserve">Mbps</t>
  </si>
  <si>
    <t xml:space="preserve">Assumption; the real latency driver</t>
  </si>
  <si>
    <t xml:space="preserve">Video bitrate</t>
  </si>
  <si>
    <t xml:space="preserve">Measured on the benchmark file (ffprobe)</t>
  </si>
  <si>
    <t xml:space="preserve">Storage and transfer</t>
  </si>
  <si>
    <t xml:space="preserve">Raw video retention after processing</t>
  </si>
  <si>
    <t xml:space="preserve">days</t>
  </si>
  <si>
    <t xml:space="preserve">Design rule: delete raw video</t>
  </si>
  <si>
    <t xml:space="preserve">Object storage price</t>
  </si>
  <si>
    <t xml:space="preserve">$/GB-month</t>
  </si>
  <si>
    <t xml:space="preserve">S3 Standard list price (assumption)</t>
  </si>
  <si>
    <t xml:space="preserve">Video served back to coaches per game</t>
  </si>
  <si>
    <t xml:space="preserve">GB</t>
  </si>
  <si>
    <t xml:space="preserve">0 if tags are written back to Hudl and film is watched there</t>
  </si>
  <si>
    <t xml:space="preserve">Egress price</t>
  </si>
  <si>
    <t xml:space="preserve">$/GB</t>
  </si>
  <si>
    <t xml:space="preserve">Assumption: S3 internet egress first tier</t>
  </si>
  <si>
    <t xml:space="preserve">Support and quality assurance</t>
  </si>
  <si>
    <t xml:space="preserve">Support hours per program per season</t>
  </si>
  <si>
    <t xml:space="preserve">Support cost per hour</t>
  </si>
  <si>
    <t xml:space="preserve">$/hour</t>
  </si>
  <si>
    <t xml:space="preserve">Assumption: contractor rate</t>
  </si>
  <si>
    <t xml:space="preserve">Onboarding hours for a new program</t>
  </si>
  <si>
    <t xml:space="preserve">Terminology mapping, first upload</t>
  </si>
  <si>
    <t xml:space="preserve">Human QA minutes per game</t>
  </si>
  <si>
    <t xml:space="preserve">min/game</t>
  </si>
  <si>
    <t xml:space="preserve">Set 10-20 to model a human-in-the-loop guarantee</t>
  </si>
  <si>
    <t xml:space="preserve">QA cost per hour</t>
  </si>
  <si>
    <t xml:space="preserve">Acquisition and retention</t>
  </si>
  <si>
    <t xml:space="preserve">Customer acquisition cost per new program</t>
  </si>
  <si>
    <t xml:space="preserve">$</t>
  </si>
  <si>
    <t xml:space="preserve">Assumption: founder-led; booth, travel and trial costs. Founder time not counted</t>
  </si>
  <si>
    <t xml:space="preserve">Annual churn</t>
  </si>
  <si>
    <t xml:space="preserve">%/season</t>
  </si>
  <si>
    <t xml:space="preserve">Assumption; adoption sim draws 8-25% plus value-driven exits</t>
  </si>
  <si>
    <t xml:space="preserve">Discount rate</t>
  </si>
  <si>
    <t xml:space="preserve">%/yr</t>
  </si>
  <si>
    <t xml:space="preserve">Fixed costs</t>
  </si>
  <si>
    <t xml:space="preserve">Fixed monthly costs (hosting floor, tools, domains)</t>
  </si>
  <si>
    <t xml:space="preserve">$/month</t>
  </si>
  <si>
    <t xml:space="preserve">Annual fixed costs (insurance, coaching-school attendance)</t>
  </si>
  <si>
    <t xml:space="preserve">$/year, paid in July</t>
  </si>
  <si>
    <t xml:space="preserve">One-time legal (DPA addendum, terms, entity)</t>
  </si>
  <si>
    <t xml:space="preserve">$ in Jan 2027</t>
  </si>
  <si>
    <t xml:space="preserve">Season sizes (paying programs; 2027 = free pilots)</t>
  </si>
  <si>
    <t xml:space="preserve">Free pilot programs, fall 2027</t>
  </si>
  <si>
    <t xml:space="preserve">programs</t>
  </si>
  <si>
    <t xml:space="preserve">Founder capacity, not demand</t>
  </si>
  <si>
    <t xml:space="preserve">Adoption scenario (1 = P10, 2 = P50, 3 = P90)</t>
  </si>
  <si>
    <t xml:space="preserve">Feeds Monthly from Adoption sheet</t>
  </si>
  <si>
    <t xml:space="preserve">Seasonality: share of a season's games processed in each month</t>
  </si>
  <si>
    <t xml:space="preserve">Jan</t>
  </si>
  <si>
    <t xml:space="preserve">% of season</t>
  </si>
  <si>
    <t xml:space="preserve">Feb</t>
  </si>
  <si>
    <t xml:space="preserve">Mar</t>
  </si>
  <si>
    <t xml:space="preserve">Apr</t>
  </si>
  <si>
    <t xml:space="preserve">Spring ball Apr-May (5A/6A), season late Aug-Nov, playoffs Nov-Dec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</si>
  <si>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</si>
  <si>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</si>
  <si>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</si>
  <si>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</si>
  <si>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</si>
  <si>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</si>
  <si>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</si>
  <si>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</si>
  <si>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Check: weights sum to 100%</t>
  </si>
  <si>
    <t xml:space="preserve">Measured compute benchmark (CPU, no GPU available in the test box)</t>
  </si>
  <si>
    <t xml:space="preserve">Footage: WHS Football vs Wakefield October 2, 2014 (segment 1500-2107 s), CC BY-NC-SA 4.0, 1920x1080 @ 29.97 fps. Source: https://archive.org/details/whs-football-vs-wakefield-october-2-2014</t>
  </si>
  <si>
    <t xml:space="preserve">Raw measurements (hardcoded = measured; see hs-film-autotag/bench/bench_pipeline.py)</t>
  </si>
  <si>
    <t xml:space="preserve">Segment length</t>
  </si>
  <si>
    <t xml:space="preserve">s of video</t>
  </si>
  <si>
    <t xml:space="preserve">ffprobe duration of the downloaded segment</t>
  </si>
  <si>
    <t xml:space="preserve">Full 1080p H.264 decode, 1 thread: CPU time</t>
  </si>
  <si>
    <t xml:space="preserve">CPU-s</t>
  </si>
  <si>
    <t xml:space="preserve">ffmpeg -benchmark utime+stime</t>
  </si>
  <si>
    <t xml:space="preserve">Full decode, all 4 threads: CPU time</t>
  </si>
  <si>
    <t xml:space="preserve">Full decode, all 4 threads: wall time</t>
  </si>
  <si>
    <t xml:space="preserve">ffmpeg -benchmark rtime</t>
  </si>
  <si>
    <t xml:space="preserve">Snap-signal processing (5 fps, 320x180, motion-compensated diff)</t>
  </si>
  <si>
    <t xml:space="preserve">Python/OpenCV time excluding decode</t>
  </si>
  <si>
    <t xml:space="preserve">Frames processed for snap signal</t>
  </si>
  <si>
    <t xml:space="preserve">Field-line detection per 1080p frame</t>
  </si>
  <si>
    <t xml:space="preserve">ms</t>
  </si>
  <si>
    <t xml:space="preserve">HSV mask + Canny + HoughLinesP, mean of 40 frames</t>
  </si>
  <si>
    <t xml:space="preserve">Snaps in segment (manual count)</t>
  </si>
  <si>
    <t xml:space="preserve">Counted from 2-second contact sheets</t>
  </si>
  <si>
    <t xml:space="preserve">Naive motion heuristic: true snaps found</t>
  </si>
  <si>
    <t xml:space="preserve">8 candidates returned</t>
  </si>
  <si>
    <t xml:space="preserve">Naive snap-heuristic recall</t>
  </si>
  <si>
    <t xml:space="preserve">Learned detector needed</t>
  </si>
  <si>
    <t xml:space="preserve">Pre-snap frames reviewed by eye</t>
  </si>
  <si>
    <t xml:space="preserve">...with a legible yard number</t>
  </si>
  <si>
    <t xml:space="preserve">Others need camera-motion or game-state continuity</t>
  </si>
  <si>
    <t xml:space="preserve">...with every player inside the frame</t>
  </si>
  <si>
    <t xml:space="preserve">Derived rates</t>
  </si>
  <si>
    <t xml:space="preserve">Decode cost</t>
  </si>
  <si>
    <t xml:space="preserve">CPU-s per video-s</t>
  </si>
  <si>
    <t xml:space="preserve">1080p, 4 Mbps</t>
  </si>
  <si>
    <t xml:space="preserve">Decode speed, 4 vCPU</t>
  </si>
  <si>
    <t xml:space="preserve">x real time</t>
  </si>
  <si>
    <t xml:space="preserve">Snap-signal cost</t>
  </si>
  <si>
    <t xml:space="preserve">Registration cost per frame</t>
  </si>
  <si>
    <t xml:space="preserve">CPU-s per frame</t>
  </si>
  <si>
    <t xml:space="preserve">Detector (key)</t>
  </si>
  <si>
    <t xml:space="preserve">CPU ms/frame, 1 thread</t>
  </si>
  <si>
    <t xml:space="preserve">CPU ms/frame, 4 threads</t>
  </si>
  <si>
    <t xml:space="preserve">Persons found, mean of 8 pre-snap frames</t>
  </si>
  <si>
    <t xml:space="preserve">Published T4 GPU ms/frame</t>
  </si>
  <si>
    <t xml:space="preserve">Tiles</t>
  </si>
  <si>
    <t xml:space="preserve">License and note</t>
  </si>
  <si>
    <t xml:space="preserve">yolo11n_640</t>
  </si>
  <si>
    <t xml:space="preserve">AGPL-3.0 (commercial use needs Ultralytics license). GPU: docs.ultralytics.com/models/yolo11</t>
  </si>
  <si>
    <t xml:space="preserve">yolo11s_640</t>
  </si>
  <si>
    <t xml:space="preserve">AGPL-3.0. GPU: Ultralytics T4 TensorRT10</t>
  </si>
  <si>
    <t xml:space="preserve">AGPL-3.0. 3 horizontal tiles, 15% overlap</t>
  </si>
  <si>
    <t xml:space="preserve">yolo11m_640</t>
  </si>
  <si>
    <t xml:space="preserve">AGPL-3.0</t>
  </si>
  <si>
    <t xml:space="preserve">rfdetr_nano_384</t>
  </si>
  <si>
    <t xml:space="preserve">Apache-2.0. GPU: rfdetr.roboflow.com (T4 TensorRT FP16)</t>
  </si>
  <si>
    <t xml:space="preserve">rfdetr_medium_576</t>
  </si>
  <si>
    <t xml:space="preserve">Apache-2.0</t>
  </si>
  <si>
    <t xml:space="preserve">rfdetr_medium_576_tiled3</t>
  </si>
  <si>
    <t xml:space="preserve">Apache-2.0. 3 tiles</t>
  </si>
  <si>
    <t xml:space="preserve">Person counts include sideline players, coaches and officials; on-field filtering needs the field mask. Counts are a sanity check, not an accuracy measure.</t>
  </si>
  <si>
    <t xml:space="preserve">GPU column is vendor-published latency (not measured here) and feeds only the 'GPU alternative' line in UnitEcon.</t>
  </si>
  <si>
    <t xml:space="preserve">Unit economics per game and per program-season</t>
  </si>
  <si>
    <t xml:space="preserve">Per game: compute and media</t>
  </si>
  <si>
    <t xml:space="preserve">Games per program per season</t>
  </si>
  <si>
    <t xml:space="preserve">Video seconds processed per game</t>
  </si>
  <si>
    <t xml:space="preserve">Decode cost (from Benchmark)</t>
  </si>
  <si>
    <t xml:space="preserve">Snap-signal cost (from Benchmark)</t>
  </si>
  <si>
    <t xml:space="preserve">Detector CPU-s per frame (selected model)</t>
  </si>
  <si>
    <t xml:space="preserve">1-thread measurement</t>
  </si>
  <si>
    <t xml:space="preserve">Registration CPU-s per frame</t>
  </si>
  <si>
    <t xml:space="preserve">CPU-s: decode</t>
  </si>
  <si>
    <t xml:space="preserve">CPU-s: play segmentation</t>
  </si>
  <si>
    <t xml:space="preserve">CPU-s: player detection</t>
  </si>
  <si>
    <t xml:space="preserve">CPU-s: field registration</t>
  </si>
  <si>
    <t xml:space="preserve">CPU-s per game incl. overhead</t>
  </si>
  <si>
    <t xml:space="preserve">CPU-s per play</t>
  </si>
  <si>
    <t xml:space="preserve">Compute cost per game (CPU only)</t>
  </si>
  <si>
    <t xml:space="preserve">$/game</t>
  </si>
  <si>
    <t xml:space="preserve">Target: under $1</t>
  </si>
  <si>
    <t xml:space="preserve">Target check: compute under $1 per game</t>
  </si>
  <si>
    <t xml:space="preserve">GPU alternative: detection on T4 (vendor latency)</t>
  </si>
  <si>
    <t xml:space="preserve">Derived, not measured: no GPU in the test box</t>
  </si>
  <si>
    <t xml:space="preserve">Storage per game</t>
  </si>
  <si>
    <t xml:space="preserve">Egress per game</t>
  </si>
  <si>
    <t xml:space="preserve">Compute + storage + egress per game</t>
  </si>
  <si>
    <t xml:space="preserve">Latency check (target: breakdown within 10 min of upload)</t>
  </si>
  <si>
    <t xml:space="preserve">Processing wall time with fan-out</t>
  </si>
  <si>
    <t xml:space="preserve">minutes</t>
  </si>
  <si>
    <t xml:space="preserve">Upload time for the same video</t>
  </si>
  <si>
    <t xml:space="preserve">Happens before the 10-minute clock starts, but coaches feel it</t>
  </si>
  <si>
    <t xml:space="preserve">Target check: processing under 10 minutes</t>
  </si>
  <si>
    <t xml:space="preserve">Per program per season</t>
  </si>
  <si>
    <t xml:space="preserve">Revenue</t>
  </si>
  <si>
    <t xml:space="preserve">Payment processing</t>
  </si>
  <si>
    <t xml:space="preserve">Compute, storage, egress</t>
  </si>
  <si>
    <t xml:space="preserve">Support</t>
  </si>
  <si>
    <t xml:space="preserve">Human QA</t>
  </si>
  <si>
    <t xml:space="preserve">Cost of revenue</t>
  </si>
  <si>
    <t xml:space="preserve">Gross profit</t>
  </si>
  <si>
    <t xml:space="preserve">Gross margin</t>
  </si>
  <si>
    <t xml:space="preserve">Compute share of revenue</t>
  </si>
  <si>
    <t xml:space="preserve">Acquisition and lifetime value</t>
  </si>
  <si>
    <t xml:space="preserve">First-season contribution after CAC and onboarding</t>
  </si>
  <si>
    <t xml:space="preserve">Lifetime gross profit (LTV)</t>
  </si>
  <si>
    <t xml:space="preserve">Seasonal periods; GP x (1+d)/(d+churn)</t>
  </si>
  <si>
    <t xml:space="preserve">LTV / CAC</t>
  </si>
  <si>
    <t xml:space="preserve">Rule of thumb: above 3x</t>
  </si>
  <si>
    <t xml:space="preserve">CAC payback</t>
  </si>
  <si>
    <t xml:space="preserve">seasons</t>
  </si>
  <si>
    <t xml:space="preserve">Programs to cover fixed costs</t>
  </si>
  <si>
    <t xml:space="preserve">Sensitivity tables (each cell is a live formula on Inputs/UnitEcon)</t>
  </si>
  <si>
    <t xml:space="preserve">Gross margin: price (columns) x compute cost multiplier (rows)</t>
  </si>
  <si>
    <t xml:space="preserve">Compute multiplier \ Price</t>
  </si>
  <si>
    <t xml:space="preserve">$300</t>
  </si>
  <si>
    <t xml:space="preserve">$600</t>
  </si>
  <si>
    <t xml:space="preserve">$900</t>
  </si>
  <si>
    <t xml:space="preserve">$1,200</t>
  </si>
  <si>
    <t xml:space="preserve">$1,800</t>
  </si>
  <si>
    <t xml:space="preserve">price -&gt;</t>
  </si>
  <si>
    <t xml:space="preserve">Reading: compute would have to rise ~100x before it dents margin; support is the real cost.</t>
  </si>
  <si>
    <t xml:space="preserve">LTV / CAC: CAC (columns) x annual churn (rows)</t>
  </si>
  <si>
    <t xml:space="preserve">Churn \ CAC</t>
  </si>
  <si>
    <t xml:space="preserve">$200</t>
  </si>
  <si>
    <t xml:space="preserve">$400</t>
  </si>
  <si>
    <t xml:space="preserve">$800</t>
  </si>
  <si>
    <t xml:space="preserve">$1,600</t>
  </si>
  <si>
    <t xml:space="preserve">$3,200</t>
  </si>
  <si>
    <t xml:space="preserve">CAC -&gt;</t>
  </si>
  <si>
    <t xml:space="preserve">Compute $ per game: detector (rows) x detector frames per play (columns)</t>
  </si>
  <si>
    <t xml:space="preserve">Detector \ frames per play</t>
  </si>
  <si>
    <t xml:space="preserve">3</t>
  </si>
  <si>
    <t xml:space="preserve">9</t>
  </si>
  <si>
    <t xml:space="preserve">30</t>
  </si>
  <si>
    <t xml:space="preserve">60</t>
  </si>
  <si>
    <t xml:space="preserve">300</t>
  </si>
  <si>
    <t xml:space="preserve">frames -&gt;</t>
  </si>
  <si>
    <t xml:space="preserve">60 frames/play = full tracking at 10 fps for 6 s; 300 = 30 fps for 10 s. CPU only, on-demand prices.</t>
  </si>
  <si>
    <t xml:space="preserve">Programs needed to cover an annual cost base: price (columns) x annual cost (rows)</t>
  </si>
  <si>
    <t xml:space="preserve">Annual cost \ Price</t>
  </si>
  <si>
    <t xml:space="preserve">Rows: $6.5k = current fixed costs; $100k-$200k = one funded engineer; $400k = small team.</t>
  </si>
  <si>
    <t xml:space="preserve">Monthly cash model, Jan 2027 - Dec 2030 (cash basis; annual billing in August)</t>
  </si>
  <si>
    <t xml:space="preserve">Month</t>
  </si>
  <si>
    <t xml:space="preserve">Year</t>
  </si>
  <si>
    <t xml:space="preserve">Month #</t>
  </si>
  <si>
    <t xml:space="preserve">Seasonality weight</t>
  </si>
  <si>
    <t xml:space="preserve">Paying programs (season)</t>
  </si>
  <si>
    <t xml:space="preserve">Pilot programs</t>
  </si>
  <si>
    <t xml:space="preserve">New paying programs</t>
  </si>
  <si>
    <t xml:space="preserve">Revenue (cash)</t>
  </si>
  <si>
    <t xml:space="preserve">Media COGS</t>
  </si>
  <si>
    <t xml:space="preserve">Support + QA</t>
  </si>
  <si>
    <t xml:space="preserve">Payment fees</t>
  </si>
  <si>
    <t xml:space="preserve">CAC</t>
  </si>
  <si>
    <t xml:space="preserve">Net cash flow</t>
  </si>
  <si>
    <t xml:space="preserve">Cumulative cash</t>
  </si>
  <si>
    <t xml:space="preserve">Season lookup</t>
  </si>
  <si>
    <t xml:space="preserve">Paying programs</t>
  </si>
  <si>
    <t xml:space="preserve">Totals</t>
  </si>
  <si>
    <t xml:space="preserve">Lowest cumulative cash</t>
  </si>
  <si>
    <t xml:space="preserve">Founder time is unpaid and not in these numbers (about 1,000 hours a year at 20 h/week).</t>
  </si>
  <si>
    <t xml:space="preserve">Market sizing (bottom-up, formulas)</t>
  </si>
  <si>
    <t xml:space="preserve">Segment</t>
  </si>
  <si>
    <t xml:space="preserve">Programs</t>
  </si>
  <si>
    <t xml:space="preserve">Price/season</t>
  </si>
  <si>
    <t xml:space="preserve">Revenue at 100%</t>
  </si>
  <si>
    <t xml:space="preserve">At 5%</t>
  </si>
  <si>
    <t xml:space="preserve">At 15%</t>
  </si>
  <si>
    <t xml:space="preserve">Source</t>
  </si>
  <si>
    <t xml:space="preserve">U.S. 11-player HS football (2024-25)</t>
  </si>
  <si>
    <t xml:space="preserve">NFHS 2024-25 participation survey (nfhs.org)</t>
  </si>
  <si>
    <t xml:space="preserve">Texas UIL 11-man (2024-26)</t>
  </si>
  <si>
    <t xml:space="preserve">UIL alignment PDF, counted by school</t>
  </si>
  <si>
    <t xml:space="preserve">Texas UIL six-man (2024-26)</t>
  </si>
  <si>
    <t xml:space="preserve">UIL alignment PDF; six-man needs a separate model</t>
  </si>
  <si>
    <t xml:space="preserve">NCAA D2 + D3 + NAIA (2025)</t>
  </si>
  <si>
    <t xml:space="preserve">Wikipedia 2025 season pages: 161 + 241 + 94; price assumption</t>
  </si>
  <si>
    <t xml:space="preserve">Top-down ceiling: all-sport Hudl spend if every school bought a department package</t>
  </si>
  <si>
    <t xml:space="preserve">Low package price (Dixie Heights HS, KY, 2022)</t>
  </si>
  <si>
    <t xml:space="preserve">High package price (Tulsa PS, OK, 2026, per school)</t>
  </si>
  <si>
    <t xml:space="preserve">Implied all-sport spend, low</t>
  </si>
  <si>
    <t xml:space="preserve">Implied all-sport spend, high</t>
  </si>
  <si>
    <t xml:space="preserve">Adoption simulation output (hs-film-autotag/sim/adoption_sim.py, seed 20261023, 1,000 draws)</t>
  </si>
  <si>
    <t xml:space="preserve">Model of stated priors, not evidence. Texas UIL 11-man programs = 1104. Hardcoded values below are simulation outputs.</t>
  </si>
  <si>
    <t xml:space="preserve">Paying programs by season, base case ($900, 95% core accuracy)</t>
  </si>
  <si>
    <t xml:space="preserve">Season</t>
  </si>
  <si>
    <t xml:space="preserve">P10, Hudl never automates</t>
  </si>
  <si>
    <t xml:space="preserve">P50</t>
  </si>
  <si>
    <t xml:space="preserve">P90</t>
  </si>
  <si>
    <t xml:space="preserve">P50 if Hudl automates 2029</t>
  </si>
  <si>
    <t xml:space="preserve">P50 if Hudl automates 2028</t>
  </si>
  <si>
    <t xml:space="preserve">2027</t>
  </si>
  <si>
    <t xml:space="preserve">2028</t>
  </si>
  <si>
    <t xml:space="preserve">2029</t>
  </si>
  <si>
    <t xml:space="preserve">2030</t>
  </si>
  <si>
    <t xml:space="preserve">2027 counts are free-pilot uptake in the sim; Monthly uses Inputs' founder-capacity pilots instead.</t>
  </si>
  <si>
    <t xml:space="preserve">2030 paying programs (P50) by price and accuracy, Hudl never automates</t>
  </si>
  <si>
    <t xml:space="preserve">Core-column accuracy \ Price</t>
  </si>
  <si>
    <t xml:space="preserve">2030 ARR (P50, $) = programs x price</t>
  </si>
  <si>
    <t xml:space="preserve">Same grid if Hudl ships automated football tagging in 2028: P50 programs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</si>
</sst>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#,##0;\(#,##0\);\-"/>
    <numFmt numFmtId="169" formatCode="0.0\x"/>
    <numFmt numFmtId="170" formatCode="\$#,##0.0000;&quot;($&quot;#,##0.0000\);\-"/>
    <numFmt numFmtId="171" formatCode="\$#,##0.00;&quot;($&quot;#,##0.00\);\-"/>
    <numFmt numFmtId="172" formatCode="#,##0.000;\(#,##0.000\);\-"/>
    <numFmt numFmtId="173" formatCode="mmm\ yyyy"/>
    <numFmt numFmtId="174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4" t="s">
        <v>15</v>
      </c>
      <c r="B4" s="5"/>
      <c r="C4" s="5"/>
      <c r="D4" s="5"/>
    </row>
    <row r="5" customFormat="false" ht="15" hidden="false" customHeight="false" outlineLevel="0" collapsed="false">
      <c r="A5" s="2" t="s">
        <v>16</v>
      </c>
      <c r="B5" s="6" t="n">
        <v>900</v>
      </c>
      <c r="C5" s="2" t="s">
        <v>17</v>
      </c>
      <c r="D5" s="2" t="s">
        <v>18</v>
      </c>
    </row>
    <row r="6" customFormat="false" ht="15" hidden="false" customHeight="false" outlineLevel="0" collapsed="false">
      <c r="A6" s="2" t="s">
        <v>19</v>
      </c>
      <c r="B6" s="7" t="n">
        <v>0.025</v>
      </c>
      <c r="C6" s="2" t="s">
        <v>20</v>
      </c>
      <c r="D6" s="2" t="s">
        <v>21</v>
      </c>
    </row>
    <row r="8" customFormat="false" ht="15" hidden="false" customHeight="false" outlineLevel="0" collapsed="false">
      <c r="A8" s="4" t="s">
        <v>22</v>
      </c>
      <c r="B8" s="5"/>
      <c r="C8" s="5"/>
      <c r="D8" s="5"/>
    </row>
    <row r="9" customFormat="false" ht="15" hidden="false" customHeight="false" outlineLevel="0" collapsed="false">
      <c r="A9" s="2" t="s">
        <v>23</v>
      </c>
      <c r="B9" s="8" t="n">
        <v>10.5</v>
      </c>
      <c r="C9" s="2" t="s">
        <v>24</v>
      </c>
      <c r="D9" s="2" t="s">
        <v>25</v>
      </c>
    </row>
    <row r="10" customFormat="false" ht="15" hidden="false" customHeight="false" outlineLevel="0" collapsed="false">
      <c r="A10" s="2" t="s">
        <v>26</v>
      </c>
      <c r="B10" s="8" t="n">
        <v>15</v>
      </c>
      <c r="C10" s="2" t="s">
        <v>24</v>
      </c>
      <c r="D10" s="2" t="s">
        <v>27</v>
      </c>
    </row>
    <row r="11" customFormat="false" ht="15" hidden="false" customHeight="false" outlineLevel="0" collapsed="false">
      <c r="A11" s="2" t="s">
        <v>28</v>
      </c>
      <c r="B11" s="8" t="n">
        <v>3</v>
      </c>
      <c r="C11" s="2" t="s">
        <v>24</v>
      </c>
      <c r="D11" s="2" t="s">
        <v>29</v>
      </c>
    </row>
    <row r="12" customFormat="false" ht="15" hidden="false" customHeight="false" outlineLevel="0" collapsed="false">
      <c r="A12" s="2" t="s">
        <v>30</v>
      </c>
      <c r="B12" s="9" t="n">
        <v>140</v>
      </c>
      <c r="C12" s="2" t="s">
        <v>31</v>
      </c>
      <c r="D12" s="2" t="s">
        <v>32</v>
      </c>
    </row>
    <row r="13" customFormat="false" ht="15" hidden="false" customHeight="false" outlineLevel="0" collapsed="false">
      <c r="A13" s="2" t="s">
        <v>33</v>
      </c>
      <c r="B13" s="10" t="n">
        <v>12</v>
      </c>
      <c r="C13" s="2" t="s">
        <v>34</v>
      </c>
      <c r="D13" s="2" t="s">
        <v>35</v>
      </c>
    </row>
    <row r="14" customFormat="false" ht="15" hidden="false" customHeight="false" outlineLevel="0" collapsed="false">
      <c r="A14" s="2" t="s">
        <v>36</v>
      </c>
      <c r="B14" s="8" t="n">
        <v>1</v>
      </c>
      <c r="C14" s="2" t="s">
        <v>37</v>
      </c>
      <c r="D14" s="2" t="s">
        <v>38</v>
      </c>
    </row>
    <row r="15" customFormat="false" ht="15" hidden="false" customHeight="false" outlineLevel="0" collapsed="false">
      <c r="A15" s="2" t="s">
        <v>39</v>
      </c>
      <c r="B15" s="7" t="n">
        <v>0.3</v>
      </c>
      <c r="C15" s="2" t="s">
        <v>40</v>
      </c>
      <c r="D15" s="2" t="s">
        <v>41</v>
      </c>
    </row>
    <row r="16" customFormat="false" ht="15" hidden="false" customHeight="false" outlineLevel="0" collapsed="false">
      <c r="A16" s="2" t="s">
        <v>42</v>
      </c>
      <c r="B16" s="8" t="n">
        <v>2.2</v>
      </c>
      <c r="C16" s="2" t="s">
        <v>43</v>
      </c>
      <c r="D16" s="2" t="s">
        <v>44</v>
      </c>
    </row>
    <row r="18" customFormat="false" ht="15" hidden="false" customHeight="false" outlineLevel="0" collapsed="false">
      <c r="A18" s="4" t="s">
        <v>45</v>
      </c>
      <c r="B18" s="5"/>
      <c r="C18" s="5"/>
      <c r="D18" s="5"/>
    </row>
    <row r="19" customFormat="false" ht="15" hidden="false" customHeight="false" outlineLevel="0" collapsed="false">
      <c r="A19" s="2" t="s">
        <v>46</v>
      </c>
      <c r="B19" s="11" t="s">
        <v>47</v>
      </c>
      <c r="C19" s="2" t="s">
        <v>48</v>
      </c>
      <c r="D19" s="2" t="s">
        <v>49</v>
      </c>
    </row>
    <row r="20" customFormat="false" ht="15" hidden="false" customHeight="false" outlineLevel="0" collapsed="false">
      <c r="A20" s="2" t="s">
        <v>50</v>
      </c>
      <c r="B20" s="10" t="n">
        <v>9</v>
      </c>
      <c r="C20" s="2" t="s">
        <v>51</v>
      </c>
      <c r="D20" s="2" t="s">
        <v>52</v>
      </c>
    </row>
    <row r="21" customFormat="false" ht="15" hidden="false" customHeight="false" outlineLevel="0" collapsed="false">
      <c r="A21" s="2" t="s">
        <v>53</v>
      </c>
      <c r="B21" s="10" t="n">
        <v>6</v>
      </c>
      <c r="C21" s="2" t="s">
        <v>51</v>
      </c>
      <c r="D21" s="2" t="s">
        <v>54</v>
      </c>
    </row>
    <row r="22" customFormat="false" ht="15" hidden="false" customHeight="false" outlineLevel="0" collapsed="false">
      <c r="A22" s="2" t="s">
        <v>55</v>
      </c>
      <c r="B22" s="12" t="n">
        <v>1.5</v>
      </c>
      <c r="C22" s="2" t="s">
        <v>56</v>
      </c>
      <c r="D22" s="2" t="s">
        <v>29</v>
      </c>
    </row>
    <row r="23" customFormat="false" ht="15" hidden="false" customHeight="false" outlineLevel="0" collapsed="false">
      <c r="A23" s="2" t="s">
        <v>57</v>
      </c>
      <c r="B23" s="13" t="n">
        <f aca="false">0.1785/4</f>
        <v>0.044625</v>
      </c>
      <c r="C23" s="2" t="s">
        <v>58</v>
      </c>
      <c r="D23" s="2" t="s">
        <v>59</v>
      </c>
    </row>
    <row r="24" customFormat="false" ht="15" hidden="false" customHeight="false" outlineLevel="0" collapsed="false">
      <c r="A24" s="2" t="s">
        <v>60</v>
      </c>
      <c r="B24" s="13" t="n">
        <v>0.526</v>
      </c>
      <c r="C24" s="2" t="s">
        <v>61</v>
      </c>
      <c r="D24" s="2" t="s">
        <v>62</v>
      </c>
    </row>
    <row r="25" customFormat="false" ht="15" hidden="false" customHeight="false" outlineLevel="0" collapsed="false">
      <c r="A25" s="2" t="s">
        <v>63</v>
      </c>
      <c r="B25" s="10" t="n">
        <v>32</v>
      </c>
      <c r="C25" s="2" t="s">
        <v>64</v>
      </c>
      <c r="D25" s="2" t="s">
        <v>65</v>
      </c>
    </row>
    <row r="26" customFormat="false" ht="15" hidden="false" customHeight="false" outlineLevel="0" collapsed="false">
      <c r="A26" s="2" t="s">
        <v>66</v>
      </c>
      <c r="B26" s="10" t="n">
        <v>20</v>
      </c>
      <c r="C26" s="2" t="s">
        <v>67</v>
      </c>
      <c r="D26" s="2" t="s">
        <v>68</v>
      </c>
    </row>
    <row r="27" customFormat="false" ht="15" hidden="false" customHeight="false" outlineLevel="0" collapsed="false">
      <c r="A27" s="2" t="s">
        <v>69</v>
      </c>
      <c r="B27" s="8" t="n">
        <v>4.01</v>
      </c>
      <c r="C27" s="2" t="s">
        <v>67</v>
      </c>
      <c r="D27" s="2" t="s">
        <v>70</v>
      </c>
    </row>
    <row r="29" customFormat="false" ht="15" hidden="false" customHeight="false" outlineLevel="0" collapsed="false">
      <c r="A29" s="4" t="s">
        <v>71</v>
      </c>
      <c r="B29" s="5"/>
      <c r="C29" s="5"/>
      <c r="D29" s="5"/>
    </row>
    <row r="30" customFormat="false" ht="15" hidden="false" customHeight="false" outlineLevel="0" collapsed="false">
      <c r="A30" s="2" t="s">
        <v>72</v>
      </c>
      <c r="B30" s="10" t="n">
        <v>14</v>
      </c>
      <c r="C30" s="2" t="s">
        <v>73</v>
      </c>
      <c r="D30" s="2" t="s">
        <v>74</v>
      </c>
    </row>
    <row r="31" customFormat="false" ht="15" hidden="false" customHeight="false" outlineLevel="0" collapsed="false">
      <c r="A31" s="2" t="s">
        <v>75</v>
      </c>
      <c r="B31" s="13" t="n">
        <v>0.023</v>
      </c>
      <c r="C31" s="2" t="s">
        <v>76</v>
      </c>
      <c r="D31" s="2" t="s">
        <v>77</v>
      </c>
    </row>
    <row r="32" customFormat="false" ht="15" hidden="false" customHeight="false" outlineLevel="0" collapsed="false">
      <c r="A32" s="2" t="s">
        <v>78</v>
      </c>
      <c r="B32" s="8" t="n">
        <v>0</v>
      </c>
      <c r="C32" s="2" t="s">
        <v>79</v>
      </c>
      <c r="D32" s="2" t="s">
        <v>80</v>
      </c>
    </row>
    <row r="33" customFormat="false" ht="15" hidden="false" customHeight="false" outlineLevel="0" collapsed="false">
      <c r="A33" s="2" t="s">
        <v>81</v>
      </c>
      <c r="B33" s="14" t="n">
        <v>0.09</v>
      </c>
      <c r="C33" s="2" t="s">
        <v>82</v>
      </c>
      <c r="D33" s="2" t="s">
        <v>83</v>
      </c>
    </row>
    <row r="35" customFormat="false" ht="15" hidden="false" customHeight="false" outlineLevel="0" collapsed="false">
      <c r="A35" s="4" t="s">
        <v>84</v>
      </c>
      <c r="B35" s="5"/>
      <c r="C35" s="5"/>
      <c r="D35" s="5"/>
    </row>
    <row r="36" customFormat="false" ht="15" hidden="false" customHeight="false" outlineLevel="0" collapsed="false">
      <c r="A36" s="2" t="s">
        <v>85</v>
      </c>
      <c r="B36" s="15" t="n">
        <v>4</v>
      </c>
      <c r="C36" s="2" t="s">
        <v>43</v>
      </c>
      <c r="D36" s="2" t="s">
        <v>29</v>
      </c>
    </row>
    <row r="37" customFormat="false" ht="15" hidden="false" customHeight="false" outlineLevel="0" collapsed="false">
      <c r="A37" s="2" t="s">
        <v>86</v>
      </c>
      <c r="B37" s="16" t="n">
        <v>40</v>
      </c>
      <c r="C37" s="2" t="s">
        <v>87</v>
      </c>
      <c r="D37" s="2" t="s">
        <v>88</v>
      </c>
    </row>
    <row r="38" customFormat="false" ht="15" hidden="false" customHeight="false" outlineLevel="0" collapsed="false">
      <c r="A38" s="2" t="s">
        <v>89</v>
      </c>
      <c r="B38" s="8" t="n">
        <v>3</v>
      </c>
      <c r="C38" s="2" t="s">
        <v>43</v>
      </c>
      <c r="D38" s="2" t="s">
        <v>90</v>
      </c>
    </row>
    <row r="39" customFormat="false" ht="15" hidden="false" customHeight="false" outlineLevel="0" collapsed="false">
      <c r="A39" s="2" t="s">
        <v>91</v>
      </c>
      <c r="B39" s="9" t="n">
        <v>0</v>
      </c>
      <c r="C39" s="2" t="s">
        <v>92</v>
      </c>
      <c r="D39" s="2" t="s">
        <v>93</v>
      </c>
    </row>
    <row r="40" customFormat="false" ht="15" hidden="false" customHeight="false" outlineLevel="0" collapsed="false">
      <c r="A40" s="2" t="s">
        <v>94</v>
      </c>
      <c r="B40" s="16" t="n">
        <v>20</v>
      </c>
      <c r="C40" s="2" t="s">
        <v>87</v>
      </c>
      <c r="D40" s="2" t="s">
        <v>29</v>
      </c>
    </row>
    <row r="42" customFormat="false" ht="15" hidden="false" customHeight="false" outlineLevel="0" collapsed="false">
      <c r="A42" s="4" t="s">
        <v>95</v>
      </c>
      <c r="B42" s="5"/>
      <c r="C42" s="5"/>
      <c r="D42" s="5"/>
    </row>
    <row r="43" customFormat="false" ht="15" hidden="false" customHeight="false" outlineLevel="0" collapsed="false">
      <c r="A43" s="2" t="s">
        <v>96</v>
      </c>
      <c r="B43" s="6" t="n">
        <v>400</v>
      </c>
      <c r="C43" s="2" t="s">
        <v>97</v>
      </c>
      <c r="D43" s="2" t="s">
        <v>98</v>
      </c>
    </row>
    <row r="44" customFormat="false" ht="15" hidden="false" customHeight="false" outlineLevel="0" collapsed="false">
      <c r="A44" s="2" t="s">
        <v>99</v>
      </c>
      <c r="B44" s="17" t="n">
        <v>0.2</v>
      </c>
      <c r="C44" s="2" t="s">
        <v>100</v>
      </c>
      <c r="D44" s="2" t="s">
        <v>101</v>
      </c>
    </row>
    <row r="45" customFormat="false" ht="15" hidden="false" customHeight="false" outlineLevel="0" collapsed="false">
      <c r="A45" s="2" t="s">
        <v>102</v>
      </c>
      <c r="B45" s="7" t="n">
        <v>0.1</v>
      </c>
      <c r="C45" s="2" t="s">
        <v>103</v>
      </c>
      <c r="D45" s="2" t="s">
        <v>29</v>
      </c>
    </row>
    <row r="47" customFormat="false" ht="15" hidden="false" customHeight="false" outlineLevel="0" collapsed="false">
      <c r="A47" s="4" t="s">
        <v>104</v>
      </c>
      <c r="B47" s="5"/>
      <c r="C47" s="5"/>
      <c r="D47" s="5"/>
    </row>
    <row r="48" customFormat="false" ht="15" hidden="false" customHeight="false" outlineLevel="0" collapsed="false">
      <c r="A48" s="2" t="s">
        <v>105</v>
      </c>
      <c r="B48" s="16" t="n">
        <v>250</v>
      </c>
      <c r="C48" s="2" t="s">
        <v>106</v>
      </c>
      <c r="D48" s="2" t="s">
        <v>29</v>
      </c>
    </row>
    <row r="49" customFormat="false" ht="15" hidden="false" customHeight="false" outlineLevel="0" collapsed="false">
      <c r="A49" s="2" t="s">
        <v>107</v>
      </c>
      <c r="B49" s="16" t="n">
        <v>3500</v>
      </c>
      <c r="C49" s="2" t="s">
        <v>108</v>
      </c>
      <c r="D49" s="2" t="s">
        <v>29</v>
      </c>
    </row>
    <row r="50" customFormat="false" ht="15" hidden="false" customHeight="false" outlineLevel="0" collapsed="false">
      <c r="A50" s="2" t="s">
        <v>109</v>
      </c>
      <c r="B50" s="16" t="n">
        <v>3000</v>
      </c>
      <c r="C50" s="2" t="s">
        <v>110</v>
      </c>
      <c r="D50" s="2" t="s">
        <v>29</v>
      </c>
    </row>
    <row r="52" customFormat="false" ht="15" hidden="false" customHeight="false" outlineLevel="0" collapsed="false">
      <c r="A52" s="4" t="s">
        <v>111</v>
      </c>
      <c r="B52" s="5"/>
      <c r="C52" s="5"/>
      <c r="D52" s="5"/>
    </row>
    <row r="53" customFormat="false" ht="15" hidden="false" customHeight="false" outlineLevel="0" collapsed="false">
      <c r="A53" s="2" t="s">
        <v>112</v>
      </c>
      <c r="B53" s="10" t="n">
        <v>8</v>
      </c>
      <c r="C53" s="2" t="s">
        <v>113</v>
      </c>
      <c r="D53" s="2" t="s">
        <v>114</v>
      </c>
    </row>
    <row r="54" customFormat="false" ht="15" hidden="false" customHeight="false" outlineLevel="0" collapsed="false">
      <c r="A54" s="2" t="s">
        <v>115</v>
      </c>
      <c r="B54" s="9" t="n">
        <v>2</v>
      </c>
      <c r="C54" s="2"/>
      <c r="D54" s="2" t="s">
        <v>116</v>
      </c>
    </row>
    <row r="56" customFormat="false" ht="15" hidden="false" customHeight="false" outlineLevel="0" collapsed="false">
      <c r="A56" s="4" t="s">
        <v>117</v>
      </c>
      <c r="B56" s="5"/>
      <c r="C56" s="5"/>
      <c r="D56" s="5"/>
    </row>
    <row r="57" customFormat="false" ht="15" hidden="false" customHeight="false" outlineLevel="0" collapsed="false">
      <c r="A57" s="2" t="s">
        <v>118</v>
      </c>
      <c r="B57" s="7" t="n">
        <v>0</v>
      </c>
      <c r="C57" s="2" t="s">
        <v>119</v>
      </c>
      <c r="D57" s="2"/>
    </row>
    <row r="58" customFormat="false" ht="15" hidden="false" customHeight="false" outlineLevel="0" collapsed="false">
      <c r="A58" s="2" t="s">
        <v>120</v>
      </c>
      <c r="B58" s="7" t="n">
        <v>0</v>
      </c>
      <c r="C58" s="2" t="s">
        <v>119</v>
      </c>
      <c r="D58" s="2"/>
    </row>
    <row r="59" customFormat="false" ht="15" hidden="false" customHeight="false" outlineLevel="0" collapsed="false">
      <c r="A59" s="2" t="s">
        <v>121</v>
      </c>
      <c r="B59" s="7" t="n">
        <v>0.02</v>
      </c>
      <c r="C59" s="2" t="s">
        <v>119</v>
      </c>
      <c r="D59" s="2"/>
    </row>
    <row r="60" customFormat="false" ht="15" hidden="false" customHeight="false" outlineLevel="0" collapsed="false">
      <c r="A60" s="2" t="s">
        <v>122</v>
      </c>
      <c r="B60" s="7" t="n">
        <v>0.05</v>
      </c>
      <c r="C60" s="2" t="s">
        <v>119</v>
      </c>
      <c r="D60" s="2" t="s">
        <v>123</v>
      </c>
    </row>
    <row r="61" customFormat="false" ht="15" hidden="false" customHeight="false" outlineLevel="0" collapsed="false">
      <c r="A61" s="2" t="s">
        <v>124</v>
      </c>
      <c r="B61" s="7" t="n">
        <v>0.03</v>
      </c>
      <c r="C61" s="2" t="s">
        <v>119</v>
      </c>
      <c r="D61" s="2"/>
    </row>
    <row r="62" customFormat="false" ht="15" hidden="false" customHeight="false" outlineLevel="0" collapsed="false">
      <c r="A62" s="2" t="s">
        <v>125</v>
      </c>
      <c r="B62" s="7" t="n">
        <v>0.01</v>
      </c>
      <c r="C62" s="2" t="s">
        <v>119</v>
      </c>
      <c r="D62" s="2"/>
    </row>
    <row r="63" customFormat="false" ht="15" hidden="false" customHeight="false" outlineLevel="0" collapsed="false">
      <c r="A63" s="2" t="s">
        <v>126</v>
      </c>
      <c r="B63" s="7" t="n">
        <v>0.01</v>
      </c>
      <c r="C63" s="2" t="s">
        <v>119</v>
      </c>
      <c r="D63" s="2"/>
    </row>
    <row r="64" customFormat="false" ht="15" hidden="false" customHeight="false" outlineLevel="0" collapsed="false">
      <c r="A64" s="2" t="s">
        <v>127</v>
      </c>
      <c r="B64" s="7" t="n">
        <v>0.1</v>
      </c>
      <c r="C64" s="2" t="s">
        <v>119</v>
      </c>
      <c r="D64" s="2"/>
    </row>
    <row r="65" customFormat="false" ht="15" hidden="false" customHeight="false" outlineLevel="0" collapsed="false">
      <c r="A65" s="2" t="s">
        <v>128</v>
      </c>
      <c r="B65" s="7" t="n">
        <v>0.25</v>
      </c>
      <c r="C65" s="2" t="s">
        <v>119</v>
      </c>
      <c r="D65" s="2"/>
    </row>
    <row r="66" customFormat="false" ht="15" hidden="false" customHeight="false" outlineLevel="0" collapsed="false">
      <c r="A66" s="2" t="s">
        <v>129</v>
      </c>
      <c r="B66" s="7" t="n">
        <v>0.27</v>
      </c>
      <c r="C66" s="2" t="s">
        <v>119</v>
      </c>
      <c r="D66" s="2"/>
    </row>
    <row r="67" customFormat="false" ht="15" hidden="false" customHeight="false" outlineLevel="0" collapsed="false">
      <c r="A67" s="2" t="s">
        <v>130</v>
      </c>
      <c r="B67" s="7" t="n">
        <v>0.2</v>
      </c>
      <c r="C67" s="2" t="s">
        <v>119</v>
      </c>
      <c r="D67" s="2"/>
    </row>
    <row r="68" customFormat="false" ht="15" hidden="false" customHeight="false" outlineLevel="0" collapsed="false">
      <c r="A68" s="2" t="s">
        <v>131</v>
      </c>
      <c r="B68" s="7" t="n">
        <v>0.06</v>
      </c>
      <c r="C68" s="2" t="s">
        <v>119</v>
      </c>
      <c r="D68" s="2"/>
    </row>
    <row r="69" customFormat="false" ht="15" hidden="false" customHeight="false" outlineLevel="0" collapsed="false">
      <c r="A69" s="2" t="s">
        <v>132</v>
      </c>
      <c r="B69" s="18" t="n">
        <f aca="false">SUM(B57:B68)</f>
        <v>1</v>
      </c>
      <c r="C69" s="2"/>
      <c r="D69" s="2"/>
    </row>
  </sheetData>
  <dataValidations count="1">
    <dataValidation allowBlank="false" errorStyle="stop" operator="between" showDropDown="false" showErrorMessage="false" showInputMessage="false" sqref="B19" type="list">
      <formula1>Benchmark!$A$26:$A$32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4" t="s">
        <v>135</v>
      </c>
      <c r="B4" s="5"/>
      <c r="C4" s="5"/>
      <c r="D4" s="5"/>
    </row>
    <row r="5" customFormat="false" ht="15" hidden="false" customHeight="false" outlineLevel="0" collapsed="false">
      <c r="A5" s="2" t="s">
        <v>136</v>
      </c>
      <c r="B5" s="8" t="n">
        <v>606.83</v>
      </c>
      <c r="C5" s="2" t="s">
        <v>137</v>
      </c>
      <c r="D5" s="2" t="s">
        <v>138</v>
      </c>
    </row>
    <row r="6" customFormat="false" ht="15" hidden="false" customHeight="false" outlineLevel="0" collapsed="false">
      <c r="A6" s="2" t="s">
        <v>139</v>
      </c>
      <c r="B6" s="8" t="n">
        <v>111.072</v>
      </c>
      <c r="C6" s="2" t="s">
        <v>140</v>
      </c>
      <c r="D6" s="2" t="s">
        <v>141</v>
      </c>
    </row>
    <row r="7" customFormat="false" ht="15" hidden="false" customHeight="false" outlineLevel="0" collapsed="false">
      <c r="A7" s="2" t="s">
        <v>142</v>
      </c>
      <c r="B7" s="8" t="n">
        <v>122.62</v>
      </c>
      <c r="C7" s="2" t="s">
        <v>140</v>
      </c>
      <c r="D7" s="2" t="s">
        <v>141</v>
      </c>
    </row>
    <row r="8" customFormat="false" ht="15" hidden="false" customHeight="false" outlineLevel="0" collapsed="false">
      <c r="A8" s="2" t="s">
        <v>143</v>
      </c>
      <c r="B8" s="8" t="n">
        <v>40.153</v>
      </c>
      <c r="C8" s="2" t="s">
        <v>34</v>
      </c>
      <c r="D8" s="2" t="s">
        <v>144</v>
      </c>
    </row>
    <row r="9" customFormat="false" ht="15" hidden="false" customHeight="false" outlineLevel="0" collapsed="false">
      <c r="A9" s="2" t="s">
        <v>145</v>
      </c>
      <c r="B9" s="19" t="n">
        <v>11.524</v>
      </c>
      <c r="C9" s="2" t="s">
        <v>140</v>
      </c>
      <c r="D9" s="2" t="s">
        <v>146</v>
      </c>
    </row>
    <row r="10" customFormat="false" ht="15" hidden="false" customHeight="false" outlineLevel="0" collapsed="false">
      <c r="A10" s="2" t="s">
        <v>147</v>
      </c>
      <c r="B10" s="10" t="n">
        <v>3034</v>
      </c>
      <c r="C10" s="2" t="s">
        <v>51</v>
      </c>
      <c r="D10" s="2"/>
    </row>
    <row r="11" customFormat="false" ht="15" hidden="false" customHeight="false" outlineLevel="0" collapsed="false">
      <c r="A11" s="2" t="s">
        <v>148</v>
      </c>
      <c r="B11" s="8" t="n">
        <v>23.59</v>
      </c>
      <c r="C11" s="2" t="s">
        <v>149</v>
      </c>
      <c r="D11" s="2" t="s">
        <v>150</v>
      </c>
    </row>
    <row r="12" customFormat="false" ht="15" hidden="false" customHeight="false" outlineLevel="0" collapsed="false">
      <c r="A12" s="2" t="s">
        <v>151</v>
      </c>
      <c r="B12" s="10" t="n">
        <v>10</v>
      </c>
      <c r="C12" s="2" t="s">
        <v>31</v>
      </c>
      <c r="D12" s="2" t="s">
        <v>152</v>
      </c>
    </row>
    <row r="13" customFormat="false" ht="15" hidden="false" customHeight="false" outlineLevel="0" collapsed="false">
      <c r="A13" s="2" t="s">
        <v>153</v>
      </c>
      <c r="B13" s="10" t="n">
        <v>6</v>
      </c>
      <c r="C13" s="2" t="s">
        <v>31</v>
      </c>
      <c r="D13" s="2" t="s">
        <v>154</v>
      </c>
    </row>
    <row r="14" customFormat="false" ht="15" hidden="false" customHeight="false" outlineLevel="0" collapsed="false">
      <c r="A14" s="2" t="s">
        <v>155</v>
      </c>
      <c r="B14" s="18" t="n">
        <f aca="false">Benchmark!$B$13/Benchmark!$B$12</f>
        <v>0.6</v>
      </c>
      <c r="C14" s="2"/>
      <c r="D14" s="2" t="s">
        <v>156</v>
      </c>
    </row>
    <row r="15" customFormat="false" ht="15" hidden="false" customHeight="false" outlineLevel="0" collapsed="false">
      <c r="A15" s="2" t="s">
        <v>157</v>
      </c>
      <c r="B15" s="10" t="n">
        <v>8</v>
      </c>
      <c r="C15" s="2" t="s">
        <v>51</v>
      </c>
      <c r="D15" s="2"/>
    </row>
    <row r="16" customFormat="false" ht="15" hidden="false" customHeight="false" outlineLevel="0" collapsed="false">
      <c r="A16" s="2" t="s">
        <v>158</v>
      </c>
      <c r="B16" s="10" t="n">
        <v>5</v>
      </c>
      <c r="C16" s="2" t="s">
        <v>51</v>
      </c>
      <c r="D16" s="2" t="s">
        <v>159</v>
      </c>
    </row>
    <row r="17" customFormat="false" ht="15" hidden="false" customHeight="false" outlineLevel="0" collapsed="false">
      <c r="A17" s="2" t="s">
        <v>160</v>
      </c>
      <c r="B17" s="10" t="n">
        <v>6</v>
      </c>
      <c r="C17" s="2" t="s">
        <v>51</v>
      </c>
      <c r="D17" s="2"/>
    </row>
    <row r="19" customFormat="false" ht="15" hidden="false" customHeight="false" outlineLevel="0" collapsed="false">
      <c r="A19" s="4" t="s">
        <v>161</v>
      </c>
      <c r="B19" s="5"/>
      <c r="C19" s="5"/>
      <c r="D19" s="5"/>
    </row>
    <row r="20" customFormat="false" ht="15" hidden="false" customHeight="false" outlineLevel="0" collapsed="false">
      <c r="A20" s="2" t="s">
        <v>162</v>
      </c>
      <c r="B20" s="20" t="n">
        <f aca="false">Benchmark!$B$6/Benchmark!$B$5</f>
        <v>0.183036435245456</v>
      </c>
      <c r="C20" s="2" t="s">
        <v>163</v>
      </c>
      <c r="D20" s="2" t="s">
        <v>164</v>
      </c>
    </row>
    <row r="21" customFormat="false" ht="15" hidden="false" customHeight="false" outlineLevel="0" collapsed="false">
      <c r="A21" s="2" t="s">
        <v>165</v>
      </c>
      <c r="B21" s="21" t="n">
        <f aca="false">Benchmark!$B$5/Benchmark!$B$8</f>
        <v>15.1129429930516</v>
      </c>
      <c r="C21" s="2" t="s">
        <v>166</v>
      </c>
      <c r="D21" s="2"/>
    </row>
    <row r="22" customFormat="false" ht="15" hidden="false" customHeight="false" outlineLevel="0" collapsed="false">
      <c r="A22" s="2" t="s">
        <v>167</v>
      </c>
      <c r="B22" s="20" t="n">
        <f aca="false">Benchmark!$B$9/Benchmark!$B$5</f>
        <v>0.0189904915709507</v>
      </c>
      <c r="C22" s="2" t="s">
        <v>163</v>
      </c>
      <c r="D22" s="2"/>
    </row>
    <row r="23" customFormat="false" ht="15" hidden="false" customHeight="false" outlineLevel="0" collapsed="false">
      <c r="A23" s="2" t="s">
        <v>168</v>
      </c>
      <c r="B23" s="20" t="n">
        <f aca="false">Benchmark!$B$11/1000</f>
        <v>0.02359</v>
      </c>
      <c r="C23" s="2" t="s">
        <v>169</v>
      </c>
      <c r="D23" s="2"/>
    </row>
    <row r="25" customFormat="false" ht="39.55" hidden="false" customHeight="false" outlineLevel="0" collapsed="false">
      <c r="A25" s="22" t="s">
        <v>170</v>
      </c>
      <c r="B25" s="22" t="s">
        <v>171</v>
      </c>
      <c r="C25" s="22" t="s">
        <v>172</v>
      </c>
      <c r="D25" s="22" t="s">
        <v>173</v>
      </c>
      <c r="E25" s="22" t="s">
        <v>174</v>
      </c>
      <c r="F25" s="22" t="s">
        <v>175</v>
      </c>
      <c r="G25" s="22" t="s">
        <v>176</v>
      </c>
    </row>
    <row r="26" customFormat="false" ht="15" hidden="false" customHeight="false" outlineLevel="0" collapsed="false">
      <c r="A26" s="2" t="s">
        <v>177</v>
      </c>
      <c r="B26" s="8" t="n">
        <v>108</v>
      </c>
      <c r="C26" s="8" t="n">
        <v>51.8</v>
      </c>
      <c r="E26" s="8" t="n">
        <v>1.5</v>
      </c>
      <c r="F26" s="10" t="n">
        <v>1</v>
      </c>
      <c r="G26" s="2" t="s">
        <v>178</v>
      </c>
    </row>
    <row r="27" customFormat="false" ht="15" hidden="false" customHeight="false" outlineLevel="0" collapsed="false">
      <c r="A27" s="2" t="s">
        <v>179</v>
      </c>
      <c r="B27" s="8" t="n">
        <v>235.5</v>
      </c>
      <c r="C27" s="8" t="n">
        <v>96.2</v>
      </c>
      <c r="D27" s="8" t="n">
        <v>18</v>
      </c>
      <c r="E27" s="8" t="n">
        <v>2.5</v>
      </c>
      <c r="F27" s="10" t="n">
        <v>1</v>
      </c>
      <c r="G27" s="2" t="s">
        <v>180</v>
      </c>
    </row>
    <row r="28" customFormat="false" ht="15" hidden="false" customHeight="false" outlineLevel="0" collapsed="false">
      <c r="A28" s="2" t="s">
        <v>47</v>
      </c>
      <c r="B28" s="8" t="n">
        <v>710.8</v>
      </c>
      <c r="C28" s="8" t="n">
        <v>281.4</v>
      </c>
      <c r="D28" s="8" t="n">
        <v>27.9</v>
      </c>
      <c r="E28" s="8" t="n">
        <v>2.5</v>
      </c>
      <c r="F28" s="10" t="n">
        <v>3</v>
      </c>
      <c r="G28" s="2" t="s">
        <v>181</v>
      </c>
    </row>
    <row r="29" customFormat="false" ht="15" hidden="false" customHeight="false" outlineLevel="0" collapsed="false">
      <c r="A29" s="2" t="s">
        <v>182</v>
      </c>
      <c r="B29" s="8" t="n">
        <v>635.6</v>
      </c>
      <c r="C29" s="8" t="n">
        <v>238.6</v>
      </c>
      <c r="E29" s="8" t="n">
        <v>4.7</v>
      </c>
      <c r="F29" s="10" t="n">
        <v>1</v>
      </c>
      <c r="G29" s="2" t="s">
        <v>183</v>
      </c>
    </row>
    <row r="30" customFormat="false" ht="15" hidden="false" customHeight="false" outlineLevel="0" collapsed="false">
      <c r="A30" s="2" t="s">
        <v>184</v>
      </c>
      <c r="B30" s="8" t="n">
        <v>412.6</v>
      </c>
      <c r="C30" s="8" t="n">
        <v>197.6</v>
      </c>
      <c r="E30" s="8" t="n">
        <v>2.3</v>
      </c>
      <c r="F30" s="10" t="n">
        <v>1</v>
      </c>
      <c r="G30" s="2" t="s">
        <v>185</v>
      </c>
    </row>
    <row r="31" customFormat="false" ht="15" hidden="false" customHeight="false" outlineLevel="0" collapsed="false">
      <c r="A31" s="2" t="s">
        <v>186</v>
      </c>
      <c r="B31" s="8" t="n">
        <v>1074.6</v>
      </c>
      <c r="C31" s="8" t="n">
        <v>387.6</v>
      </c>
      <c r="D31" s="8" t="n">
        <v>26.5</v>
      </c>
      <c r="E31" s="8" t="n">
        <v>4.4</v>
      </c>
      <c r="F31" s="10" t="n">
        <v>1</v>
      </c>
      <c r="G31" s="2" t="s">
        <v>187</v>
      </c>
    </row>
    <row r="32" customFormat="false" ht="15" hidden="false" customHeight="false" outlineLevel="0" collapsed="false">
      <c r="A32" s="2" t="s">
        <v>188</v>
      </c>
      <c r="B32" s="8" t="n">
        <v>3143</v>
      </c>
      <c r="C32" s="8" t="n">
        <v>1123.3</v>
      </c>
      <c r="D32" s="8" t="n">
        <v>40.2</v>
      </c>
      <c r="E32" s="8" t="n">
        <v>4.4</v>
      </c>
      <c r="F32" s="10" t="n">
        <v>3</v>
      </c>
      <c r="G32" s="2" t="s">
        <v>189</v>
      </c>
    </row>
    <row r="34" customFormat="false" ht="15" hidden="false" customHeight="false" outlineLevel="0" collapsed="false">
      <c r="A34" s="2" t="s">
        <v>190</v>
      </c>
    </row>
    <row r="35" customFormat="false" ht="15" hidden="false" customHeight="false" outlineLevel="0" collapsed="false">
      <c r="A35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192</v>
      </c>
    </row>
    <row r="3" customFormat="false" ht="15" hidden="false" customHeight="false" outlineLevel="0" collapsed="false">
      <c r="A3" s="4" t="s">
        <v>193</v>
      </c>
      <c r="B3" s="5"/>
      <c r="C3" s="5"/>
      <c r="D3" s="5"/>
    </row>
    <row r="4" customFormat="false" ht="15" hidden="false" customHeight="false" outlineLevel="0" collapsed="false">
      <c r="A4" s="2" t="s">
        <v>194</v>
      </c>
      <c r="B4" s="23" t="n">
        <f aca="false">Inputs!$B$9+Inputs!$B$10+Inputs!$B$11</f>
        <v>28.5</v>
      </c>
      <c r="C4" s="2" t="s">
        <v>24</v>
      </c>
      <c r="D4" s="2"/>
    </row>
    <row r="5" customFormat="false" ht="15" hidden="false" customHeight="false" outlineLevel="0" collapsed="false">
      <c r="A5" s="2" t="s">
        <v>195</v>
      </c>
      <c r="B5" s="24" t="n">
        <f aca="false">(1-Inputs!$B$15)*Inputs!$B$12*Inputs!$B$13*Inputs!$B$14+Inputs!$B$15*Inputs!$B$16*3600</f>
        <v>3552</v>
      </c>
      <c r="C5" s="2" t="s">
        <v>34</v>
      </c>
      <c r="D5" s="2"/>
    </row>
    <row r="6" customFormat="false" ht="15" hidden="false" customHeight="false" outlineLevel="0" collapsed="false">
      <c r="A6" s="2" t="s">
        <v>196</v>
      </c>
      <c r="B6" s="25" t="n">
        <f aca="false">Benchmark!$B$20</f>
        <v>0.183036435245456</v>
      </c>
      <c r="C6" s="2" t="s">
        <v>163</v>
      </c>
      <c r="D6" s="2"/>
    </row>
    <row r="7" customFormat="false" ht="15" hidden="false" customHeight="false" outlineLevel="0" collapsed="false">
      <c r="A7" s="2" t="s">
        <v>197</v>
      </c>
      <c r="B7" s="25" t="n">
        <f aca="false">Benchmark!$B$22</f>
        <v>0.0189904915709507</v>
      </c>
      <c r="C7" s="2" t="s">
        <v>163</v>
      </c>
      <c r="D7" s="2"/>
    </row>
    <row r="8" customFormat="false" ht="15" hidden="false" customHeight="false" outlineLevel="0" collapsed="false">
      <c r="A8" s="2" t="s">
        <v>198</v>
      </c>
      <c r="B8" s="25" t="n">
        <f aca="false">INDEX(Benchmark!$B$26:$B$32,MATCH(Inputs!$B$19,Benchmark!$A$26:$A$32,0))/1000</f>
        <v>0.7108</v>
      </c>
      <c r="C8" s="2" t="s">
        <v>169</v>
      </c>
      <c r="D8" s="2" t="s">
        <v>199</v>
      </c>
    </row>
    <row r="9" customFormat="false" ht="15" hidden="false" customHeight="false" outlineLevel="0" collapsed="false">
      <c r="A9" s="2" t="s">
        <v>200</v>
      </c>
      <c r="B9" s="25" t="n">
        <f aca="false">Benchmark!$B$23</f>
        <v>0.02359</v>
      </c>
      <c r="C9" s="2" t="s">
        <v>169</v>
      </c>
      <c r="D9" s="2"/>
    </row>
    <row r="10" customFormat="false" ht="15" hidden="false" customHeight="false" outlineLevel="0" collapsed="false">
      <c r="A10" s="2" t="s">
        <v>201</v>
      </c>
      <c r="B10" s="24" t="n">
        <f aca="false">UnitEcon!$B$5*UnitEcon!$B$6</f>
        <v>650.145417991859</v>
      </c>
      <c r="C10" s="2" t="s">
        <v>140</v>
      </c>
      <c r="D10" s="2"/>
    </row>
    <row r="11" customFormat="false" ht="15" hidden="false" customHeight="false" outlineLevel="0" collapsed="false">
      <c r="A11" s="2" t="s">
        <v>202</v>
      </c>
      <c r="B11" s="24" t="n">
        <f aca="false">UnitEcon!$B$5*UnitEcon!$B$7</f>
        <v>67.4542260600168</v>
      </c>
      <c r="C11" s="2" t="s">
        <v>140</v>
      </c>
      <c r="D11" s="2"/>
    </row>
    <row r="12" customFormat="false" ht="15" hidden="false" customHeight="false" outlineLevel="0" collapsed="false">
      <c r="A12" s="2" t="s">
        <v>203</v>
      </c>
      <c r="B12" s="24" t="n">
        <f aca="false">Inputs!$B$12*Inputs!$B$20*UnitEcon!$B$8</f>
        <v>895.608</v>
      </c>
      <c r="C12" s="2" t="s">
        <v>140</v>
      </c>
      <c r="D12" s="2"/>
    </row>
    <row r="13" customFormat="false" ht="15" hidden="false" customHeight="false" outlineLevel="0" collapsed="false">
      <c r="A13" s="2" t="s">
        <v>204</v>
      </c>
      <c r="B13" s="24" t="n">
        <f aca="false">Inputs!$B$12*Inputs!$B$21*UnitEcon!$B$9</f>
        <v>19.8156</v>
      </c>
      <c r="C13" s="2" t="s">
        <v>140</v>
      </c>
      <c r="D13" s="2"/>
    </row>
    <row r="14" customFormat="false" ht="15" hidden="false" customHeight="false" outlineLevel="0" collapsed="false">
      <c r="A14" s="2" t="s">
        <v>205</v>
      </c>
      <c r="B14" s="24" t="n">
        <f aca="false">(UnitEcon!$B$10+UnitEcon!$B$11+UnitEcon!$B$12+UnitEcon!$B$13)*Inputs!$B$22</f>
        <v>2449.53486607781</v>
      </c>
      <c r="C14" s="2" t="s">
        <v>140</v>
      </c>
      <c r="D14" s="2"/>
    </row>
    <row r="15" customFormat="false" ht="15" hidden="false" customHeight="false" outlineLevel="0" collapsed="false">
      <c r="A15" s="2" t="s">
        <v>206</v>
      </c>
      <c r="B15" s="23" t="n">
        <f aca="false">UnitEcon!$B$14/Inputs!$B$12</f>
        <v>17.4966776148415</v>
      </c>
      <c r="C15" s="2" t="s">
        <v>206</v>
      </c>
      <c r="D15" s="2"/>
    </row>
    <row r="16" customFormat="false" ht="15" hidden="false" customHeight="false" outlineLevel="0" collapsed="false">
      <c r="A16" s="2" t="s">
        <v>207</v>
      </c>
      <c r="B16" s="26" t="n">
        <f aca="false">UnitEcon!$B$14/3600*Inputs!$B$23</f>
        <v>0.0303640259440896</v>
      </c>
      <c r="C16" s="2" t="s">
        <v>208</v>
      </c>
      <c r="D16" s="2" t="s">
        <v>209</v>
      </c>
    </row>
    <row r="17" customFormat="false" ht="15" hidden="false" customHeight="false" outlineLevel="0" collapsed="false">
      <c r="A17" s="2" t="s">
        <v>210</v>
      </c>
      <c r="B17" s="2" t="str">
        <f aca="false">IF(UnitEcon!$B$16&lt;1,"PASS","FAIL")</f>
        <v>PASS</v>
      </c>
      <c r="C17" s="2"/>
      <c r="D17" s="2"/>
    </row>
    <row r="18" customFormat="false" ht="15" hidden="false" customHeight="false" outlineLevel="0" collapsed="false">
      <c r="A18" s="2" t="s">
        <v>211</v>
      </c>
      <c r="B18" s="27" t="n">
        <f aca="false">Inputs!$B$12*Inputs!$B$20*INDEX(Benchmark!$E$26:$E$32,MATCH(Inputs!$B$19,Benchmark!$A$26:$A$32,0))*INDEX(Benchmark!$F$26:$F$32,MATCH(Inputs!$B$19,Benchmark!$A$26:$A$32,0))/1000/3600*Inputs!$B$24</f>
        <v>0.00138075</v>
      </c>
      <c r="C18" s="2" t="s">
        <v>208</v>
      </c>
      <c r="D18" s="2" t="s">
        <v>212</v>
      </c>
    </row>
    <row r="19" customFormat="false" ht="15" hidden="false" customHeight="false" outlineLevel="0" collapsed="false">
      <c r="A19" s="2" t="s">
        <v>213</v>
      </c>
      <c r="B19" s="27" t="n">
        <f aca="false">UnitEcon!$B$5*Inputs!$B$27/8/1000*Inputs!$B$31*Inputs!$B$30/30</f>
        <v>0.019110056</v>
      </c>
      <c r="C19" s="2" t="s">
        <v>208</v>
      </c>
      <c r="D19" s="2"/>
    </row>
    <row r="20" customFormat="false" ht="15" hidden="false" customHeight="false" outlineLevel="0" collapsed="false">
      <c r="A20" s="2" t="s">
        <v>214</v>
      </c>
      <c r="B20" s="27" t="n">
        <f aca="false">Inputs!$B$32*Inputs!$B$33</f>
        <v>0</v>
      </c>
      <c r="C20" s="2" t="s">
        <v>208</v>
      </c>
      <c r="D20" s="2"/>
    </row>
    <row r="21" customFormat="false" ht="15" hidden="false" customHeight="false" outlineLevel="0" collapsed="false">
      <c r="A21" s="2" t="s">
        <v>215</v>
      </c>
      <c r="B21" s="27" t="n">
        <f aca="false">UnitEcon!$B$16+UnitEcon!$B$19+UnitEcon!$B$20</f>
        <v>0.0494740819440896</v>
      </c>
      <c r="C21" s="2" t="s">
        <v>208</v>
      </c>
      <c r="D21" s="2"/>
    </row>
    <row r="23" customFormat="false" ht="15" hidden="false" customHeight="false" outlineLevel="0" collapsed="false">
      <c r="A23" s="4" t="s">
        <v>216</v>
      </c>
      <c r="B23" s="5"/>
      <c r="C23" s="5"/>
      <c r="D23" s="5"/>
    </row>
    <row r="24" customFormat="false" ht="15" hidden="false" customHeight="false" outlineLevel="0" collapsed="false">
      <c r="A24" s="2" t="s">
        <v>217</v>
      </c>
      <c r="B24" s="23" t="n">
        <f aca="false">UnitEcon!$B$14/Inputs!$B$25/60</f>
        <v>1.27579940941553</v>
      </c>
      <c r="C24" s="2" t="s">
        <v>218</v>
      </c>
      <c r="D24" s="2"/>
    </row>
    <row r="25" customFormat="false" ht="15" hidden="false" customHeight="false" outlineLevel="0" collapsed="false">
      <c r="A25" s="2" t="s">
        <v>219</v>
      </c>
      <c r="B25" s="23" t="n">
        <f aca="false">UnitEcon!$B$5*Inputs!$B$27/Inputs!$B$26/60</f>
        <v>11.8696</v>
      </c>
      <c r="C25" s="2" t="s">
        <v>218</v>
      </c>
      <c r="D25" s="2" t="s">
        <v>220</v>
      </c>
    </row>
    <row r="26" customFormat="false" ht="15" hidden="false" customHeight="false" outlineLevel="0" collapsed="false">
      <c r="A26" s="2" t="s">
        <v>221</v>
      </c>
      <c r="B26" s="2" t="str">
        <f aca="false">IF(UnitEcon!$B$24&lt;=10,"PASS","FAIL")</f>
        <v>PASS</v>
      </c>
      <c r="C26" s="2"/>
      <c r="D26" s="2"/>
    </row>
    <row r="28" customFormat="false" ht="15" hidden="false" customHeight="false" outlineLevel="0" collapsed="false">
      <c r="A28" s="4" t="s">
        <v>222</v>
      </c>
      <c r="B28" s="5"/>
      <c r="C28" s="5"/>
      <c r="D28" s="5"/>
    </row>
    <row r="29" customFormat="false" ht="15" hidden="false" customHeight="false" outlineLevel="0" collapsed="false">
      <c r="A29" s="2" t="s">
        <v>223</v>
      </c>
      <c r="B29" s="28" t="n">
        <f aca="false">Inputs!$B$5</f>
        <v>900</v>
      </c>
      <c r="C29" s="2" t="s">
        <v>97</v>
      </c>
      <c r="D29" s="2"/>
    </row>
    <row r="30" customFormat="false" ht="15" hidden="false" customHeight="false" outlineLevel="0" collapsed="false">
      <c r="A30" s="2" t="s">
        <v>224</v>
      </c>
      <c r="B30" s="29" t="n">
        <f aca="false">UnitEcon!$B$29*Inputs!$B$6</f>
        <v>22.5</v>
      </c>
      <c r="C30" s="2" t="s">
        <v>97</v>
      </c>
      <c r="D30" s="2"/>
    </row>
    <row r="31" customFormat="false" ht="15" hidden="false" customHeight="false" outlineLevel="0" collapsed="false">
      <c r="A31" s="2" t="s">
        <v>225</v>
      </c>
      <c r="B31" s="30" t="n">
        <f aca="false">UnitEcon!$B$21*UnitEcon!$B$4</f>
        <v>1.41001133540655</v>
      </c>
      <c r="C31" s="2" t="s">
        <v>97</v>
      </c>
      <c r="D31" s="2"/>
    </row>
    <row r="32" customFormat="false" ht="15" hidden="false" customHeight="false" outlineLevel="0" collapsed="false">
      <c r="A32" s="2" t="s">
        <v>226</v>
      </c>
      <c r="B32" s="29" t="n">
        <f aca="false">Inputs!$B$36*Inputs!$B$37</f>
        <v>160</v>
      </c>
      <c r="C32" s="2" t="s">
        <v>97</v>
      </c>
      <c r="D32" s="2"/>
    </row>
    <row r="33" customFormat="false" ht="15" hidden="false" customHeight="false" outlineLevel="0" collapsed="false">
      <c r="A33" s="2" t="s">
        <v>227</v>
      </c>
      <c r="B33" s="29" t="n">
        <f aca="false">Inputs!$B$39/60*Inputs!$B$40*UnitEcon!$B$4</f>
        <v>0</v>
      </c>
      <c r="C33" s="2" t="s">
        <v>97</v>
      </c>
      <c r="D33" s="2"/>
    </row>
    <row r="34" customFormat="false" ht="15" hidden="false" customHeight="false" outlineLevel="0" collapsed="false">
      <c r="A34" s="2" t="s">
        <v>228</v>
      </c>
      <c r="B34" s="29" t="n">
        <f aca="false">UnitEcon!$B$30+UnitEcon!$B$31+UnitEcon!$B$32+UnitEcon!$B$33</f>
        <v>183.910011335407</v>
      </c>
      <c r="C34" s="2" t="s">
        <v>97</v>
      </c>
      <c r="D34" s="2"/>
    </row>
    <row r="35" customFormat="false" ht="15" hidden="false" customHeight="false" outlineLevel="0" collapsed="false">
      <c r="A35" s="2" t="s">
        <v>229</v>
      </c>
      <c r="B35" s="29" t="n">
        <f aca="false">UnitEcon!$B$29-UnitEcon!$B$34</f>
        <v>716.089988664593</v>
      </c>
      <c r="C35" s="2" t="s">
        <v>97</v>
      </c>
      <c r="D35" s="2"/>
    </row>
    <row r="36" customFormat="false" ht="15" hidden="false" customHeight="false" outlineLevel="0" collapsed="false">
      <c r="A36" s="2" t="s">
        <v>230</v>
      </c>
      <c r="B36" s="31" t="n">
        <f aca="false">IF(UnitEcon!$B$29&gt;0,UnitEcon!$B$35/UnitEcon!$B$29,0)</f>
        <v>0.795655542960659</v>
      </c>
      <c r="C36" s="2" t="s">
        <v>40</v>
      </c>
      <c r="D36" s="2"/>
    </row>
    <row r="37" customFormat="false" ht="15" hidden="false" customHeight="false" outlineLevel="0" collapsed="false">
      <c r="A37" s="2" t="s">
        <v>231</v>
      </c>
      <c r="B37" s="18" t="n">
        <f aca="false">IF(UnitEcon!$B$29&gt;0,UnitEcon!$B$31/UnitEcon!$B$29,0)</f>
        <v>0.00156667926156284</v>
      </c>
      <c r="C37" s="2" t="s">
        <v>40</v>
      </c>
      <c r="D37" s="2"/>
    </row>
    <row r="39" customFormat="false" ht="15" hidden="false" customHeight="false" outlineLevel="0" collapsed="false">
      <c r="A39" s="4" t="s">
        <v>232</v>
      </c>
      <c r="B39" s="5"/>
      <c r="C39" s="5"/>
      <c r="D39" s="5"/>
    </row>
    <row r="40" customFormat="false" ht="15" hidden="false" customHeight="false" outlineLevel="0" collapsed="false">
      <c r="A40" s="2" t="s">
        <v>233</v>
      </c>
      <c r="B40" s="29" t="n">
        <f aca="false">UnitEcon!$B$35-Inputs!$B$43-Inputs!$B$38*Inputs!$B$37</f>
        <v>196.089988664593</v>
      </c>
      <c r="C40" s="2" t="s">
        <v>97</v>
      </c>
      <c r="D40" s="2"/>
    </row>
    <row r="41" customFormat="false" ht="15" hidden="false" customHeight="false" outlineLevel="0" collapsed="false">
      <c r="A41" s="2" t="s">
        <v>234</v>
      </c>
      <c r="B41" s="29" t="n">
        <f aca="false">UnitEcon!$B$35*(1+Inputs!$B$45)/(Inputs!$B$45+Inputs!$B$44)</f>
        <v>2625.66329177018</v>
      </c>
      <c r="C41" s="2" t="s">
        <v>97</v>
      </c>
      <c r="D41" s="2" t="s">
        <v>235</v>
      </c>
    </row>
    <row r="42" customFormat="false" ht="15" hidden="false" customHeight="false" outlineLevel="0" collapsed="false">
      <c r="A42" s="2" t="s">
        <v>236</v>
      </c>
      <c r="B42" s="21" t="n">
        <f aca="false">IF(Inputs!$B$43&gt;0,UnitEcon!$B$41/Inputs!$B$43,0)</f>
        <v>6.56415822942544</v>
      </c>
      <c r="C42" s="2" t="s">
        <v>56</v>
      </c>
      <c r="D42" s="2" t="s">
        <v>237</v>
      </c>
    </row>
    <row r="43" customFormat="false" ht="15" hidden="false" customHeight="false" outlineLevel="0" collapsed="false">
      <c r="A43" s="2" t="s">
        <v>238</v>
      </c>
      <c r="B43" s="23" t="n">
        <f aca="false">IF(UnitEcon!$B$35&gt;0,Inputs!$B$43/UnitEcon!$B$35,0)</f>
        <v>0.558589013017684</v>
      </c>
      <c r="C43" s="2" t="s">
        <v>239</v>
      </c>
      <c r="D43" s="2"/>
    </row>
    <row r="44" customFormat="false" ht="15" hidden="false" customHeight="false" outlineLevel="0" collapsed="false">
      <c r="A44" s="2" t="s">
        <v>240</v>
      </c>
      <c r="B44" s="23" t="n">
        <f aca="false">(Inputs!$B$48*12+Inputs!$B$49)/UnitEcon!$B$35</f>
        <v>9.07707146153737</v>
      </c>
      <c r="C44" s="2" t="s">
        <v>113</v>
      </c>
      <c r="D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241</v>
      </c>
    </row>
    <row r="3" customFormat="false" ht="15" hidden="false" customHeight="false" outlineLevel="0" collapsed="false">
      <c r="A3" s="32" t="s">
        <v>242</v>
      </c>
    </row>
    <row r="4" customFormat="false" ht="15" hidden="false" customHeight="false" outlineLevel="0" collapsed="false">
      <c r="A4" s="22" t="s">
        <v>243</v>
      </c>
      <c r="B4" s="22" t="s">
        <v>244</v>
      </c>
      <c r="C4" s="22" t="s">
        <v>245</v>
      </c>
      <c r="D4" s="22" t="s">
        <v>246</v>
      </c>
      <c r="E4" s="22" t="s">
        <v>247</v>
      </c>
      <c r="F4" s="22" t="s">
        <v>248</v>
      </c>
    </row>
    <row r="5" customFormat="false" ht="15" hidden="false" customHeight="false" outlineLevel="0" collapsed="false">
      <c r="A5" s="2" t="s">
        <v>249</v>
      </c>
      <c r="B5" s="16" t="n">
        <v>300</v>
      </c>
      <c r="C5" s="16" t="n">
        <v>600</v>
      </c>
      <c r="D5" s="16" t="n">
        <v>900</v>
      </c>
      <c r="E5" s="16" t="n">
        <v>1200</v>
      </c>
      <c r="F5" s="16" t="n">
        <v>1800</v>
      </c>
    </row>
    <row r="6" customFormat="false" ht="15" hidden="false" customHeight="false" outlineLevel="0" collapsed="false">
      <c r="A6" s="12" t="n">
        <v>1</v>
      </c>
      <c r="B6" s="18" t="n">
        <f aca="false">(B$5*(1-Inputs!$B$6)-(UnitEcon!$B$16*$A6+UnitEcon!$B$19+UnitEcon!$B$20)*UnitEcon!$B$4-UnitEcon!$B$32-UnitEcon!$B$33)/B$5</f>
        <v>0.436966628881978</v>
      </c>
      <c r="C6" s="18" t="n">
        <f aca="false">(C$5*(1-Inputs!$B$6)-(UnitEcon!$B$16*$A6+UnitEcon!$B$19+UnitEcon!$B$20)*UnitEcon!$B$4-UnitEcon!$B$32-UnitEcon!$B$33)/C$5</f>
        <v>0.705983314440989</v>
      </c>
      <c r="D6" s="18" t="n">
        <f aca="false">(D$5*(1-Inputs!$B$6)-(UnitEcon!$B$16*$A6+UnitEcon!$B$19+UnitEcon!$B$20)*UnitEcon!$B$4-UnitEcon!$B$32-UnitEcon!$B$33)/D$5</f>
        <v>0.795655542960659</v>
      </c>
      <c r="E6" s="18" t="n">
        <f aca="false">(E$5*(1-Inputs!$B$6)-(UnitEcon!$B$16*$A6+UnitEcon!$B$19+UnitEcon!$B$20)*UnitEcon!$B$4-UnitEcon!$B$32-UnitEcon!$B$33)/E$5</f>
        <v>0.840491657220495</v>
      </c>
      <c r="F6" s="18" t="n">
        <f aca="false">(F$5*(1-Inputs!$B$6)-(UnitEcon!$B$16*$A6+UnitEcon!$B$19+UnitEcon!$B$20)*UnitEcon!$B$4-UnitEcon!$B$32-UnitEcon!$B$33)/F$5</f>
        <v>0.88532777148033</v>
      </c>
    </row>
    <row r="7" customFormat="false" ht="15" hidden="false" customHeight="false" outlineLevel="0" collapsed="false">
      <c r="A7" s="12" t="n">
        <v>10</v>
      </c>
      <c r="B7" s="18" t="n">
        <f aca="false">(B$5*(1-Inputs!$B$6)-(UnitEcon!$B$16*$A7+UnitEcon!$B$19+UnitEcon!$B$20)*UnitEcon!$B$4-UnitEcon!$B$32-UnitEcon!$B$33)/B$5</f>
        <v>0.411005386699782</v>
      </c>
      <c r="C7" s="18" t="n">
        <f aca="false">(C$5*(1-Inputs!$B$6)-(UnitEcon!$B$16*$A7+UnitEcon!$B$19+UnitEcon!$B$20)*UnitEcon!$B$4-UnitEcon!$B$32-UnitEcon!$B$33)/C$5</f>
        <v>0.693002693349891</v>
      </c>
      <c r="D7" s="18" t="n">
        <f aca="false">(D$5*(1-Inputs!$B$6)-(UnitEcon!$B$16*$A7+UnitEcon!$B$19+UnitEcon!$B$20)*UnitEcon!$B$4-UnitEcon!$B$32-UnitEcon!$B$33)/D$5</f>
        <v>0.787001795566594</v>
      </c>
      <c r="E7" s="18" t="n">
        <f aca="false">(E$5*(1-Inputs!$B$6)-(UnitEcon!$B$16*$A7+UnitEcon!$B$19+UnitEcon!$B$20)*UnitEcon!$B$4-UnitEcon!$B$32-UnitEcon!$B$33)/E$5</f>
        <v>0.834001346674945</v>
      </c>
      <c r="F7" s="18" t="n">
        <f aca="false">(F$5*(1-Inputs!$B$6)-(UnitEcon!$B$16*$A7+UnitEcon!$B$19+UnitEcon!$B$20)*UnitEcon!$B$4-UnitEcon!$B$32-UnitEcon!$B$33)/F$5</f>
        <v>0.881000897783297</v>
      </c>
    </row>
    <row r="8" customFormat="false" ht="15" hidden="false" customHeight="false" outlineLevel="0" collapsed="false">
      <c r="A8" s="12" t="n">
        <v>30</v>
      </c>
      <c r="B8" s="18" t="n">
        <f aca="false">(B$5*(1-Inputs!$B$6)-(UnitEcon!$B$16*$A8+UnitEcon!$B$19+UnitEcon!$B$20)*UnitEcon!$B$4-UnitEcon!$B$32-UnitEcon!$B$33)/B$5</f>
        <v>0.353313737406011</v>
      </c>
      <c r="C8" s="18" t="n">
        <f aca="false">(C$5*(1-Inputs!$B$6)-(UnitEcon!$B$16*$A8+UnitEcon!$B$19+UnitEcon!$B$20)*UnitEcon!$B$4-UnitEcon!$B$32-UnitEcon!$B$33)/C$5</f>
        <v>0.664156868703006</v>
      </c>
      <c r="D8" s="18" t="n">
        <f aca="false">(D$5*(1-Inputs!$B$6)-(UnitEcon!$B$16*$A8+UnitEcon!$B$19+UnitEcon!$B$20)*UnitEcon!$B$4-UnitEcon!$B$32-UnitEcon!$B$33)/D$5</f>
        <v>0.767771245802004</v>
      </c>
      <c r="E8" s="18" t="n">
        <f aca="false">(E$5*(1-Inputs!$B$6)-(UnitEcon!$B$16*$A8+UnitEcon!$B$19+UnitEcon!$B$20)*UnitEcon!$B$4-UnitEcon!$B$32-UnitEcon!$B$33)/E$5</f>
        <v>0.819578434351503</v>
      </c>
      <c r="F8" s="18" t="n">
        <f aca="false">(F$5*(1-Inputs!$B$6)-(UnitEcon!$B$16*$A8+UnitEcon!$B$19+UnitEcon!$B$20)*UnitEcon!$B$4-UnitEcon!$B$32-UnitEcon!$B$33)/F$5</f>
        <v>0.871385622901002</v>
      </c>
    </row>
    <row r="9" customFormat="false" ht="15" hidden="false" customHeight="false" outlineLevel="0" collapsed="false">
      <c r="A9" s="12" t="n">
        <v>100</v>
      </c>
      <c r="B9" s="18" t="n">
        <f aca="false">(B$5*(1-Inputs!$B$6)-(UnitEcon!$B$16*$A9+UnitEcon!$B$19+UnitEcon!$B$20)*UnitEcon!$B$4-UnitEcon!$B$32-UnitEcon!$B$33)/B$5</f>
        <v>0.151392964877816</v>
      </c>
      <c r="C9" s="18" t="n">
        <f aca="false">(C$5*(1-Inputs!$B$6)-(UnitEcon!$B$16*$A9+UnitEcon!$B$19+UnitEcon!$B$20)*UnitEcon!$B$4-UnitEcon!$B$32-UnitEcon!$B$33)/C$5</f>
        <v>0.563196482438908</v>
      </c>
      <c r="D9" s="18" t="n">
        <f aca="false">(D$5*(1-Inputs!$B$6)-(UnitEcon!$B$16*$A9+UnitEcon!$B$19+UnitEcon!$B$20)*UnitEcon!$B$4-UnitEcon!$B$32-UnitEcon!$B$33)/D$5</f>
        <v>0.700464321625939</v>
      </c>
      <c r="E9" s="18" t="n">
        <f aca="false">(E$5*(1-Inputs!$B$6)-(UnitEcon!$B$16*$A9+UnitEcon!$B$19+UnitEcon!$B$20)*UnitEcon!$B$4-UnitEcon!$B$32-UnitEcon!$B$33)/E$5</f>
        <v>0.769098241219454</v>
      </c>
      <c r="F9" s="18" t="n">
        <f aca="false">(F$5*(1-Inputs!$B$6)-(UnitEcon!$B$16*$A9+UnitEcon!$B$19+UnitEcon!$B$20)*UnitEcon!$B$4-UnitEcon!$B$32-UnitEcon!$B$33)/F$5</f>
        <v>0.837732160812969</v>
      </c>
    </row>
    <row r="10" customFormat="false" ht="15" hidden="false" customHeight="false" outlineLevel="0" collapsed="false">
      <c r="A10" s="12" t="n">
        <v>300</v>
      </c>
      <c r="B10" s="18" t="n">
        <f aca="false">(B$5*(1-Inputs!$B$6)-(UnitEcon!$B$16*$A10+UnitEcon!$B$19+UnitEcon!$B$20)*UnitEcon!$B$4-UnitEcon!$B$32-UnitEcon!$B$33)/B$5</f>
        <v>-0.425523528059886</v>
      </c>
      <c r="C10" s="18" t="n">
        <f aca="false">(C$5*(1-Inputs!$B$6)-(UnitEcon!$B$16*$A10+UnitEcon!$B$19+UnitEcon!$B$20)*UnitEcon!$B$4-UnitEcon!$B$32-UnitEcon!$B$33)/C$5</f>
        <v>0.274738235970057</v>
      </c>
      <c r="D10" s="18" t="n">
        <f aca="false">(D$5*(1-Inputs!$B$6)-(UnitEcon!$B$16*$A10+UnitEcon!$B$19+UnitEcon!$B$20)*UnitEcon!$B$4-UnitEcon!$B$32-UnitEcon!$B$33)/D$5</f>
        <v>0.508158823980038</v>
      </c>
      <c r="E10" s="18" t="n">
        <f aca="false">(E$5*(1-Inputs!$B$6)-(UnitEcon!$B$16*$A10+UnitEcon!$B$19+UnitEcon!$B$20)*UnitEcon!$B$4-UnitEcon!$B$32-UnitEcon!$B$33)/E$5</f>
        <v>0.624869117985029</v>
      </c>
      <c r="F10" s="18" t="n">
        <f aca="false">(F$5*(1-Inputs!$B$6)-(UnitEcon!$B$16*$A10+UnitEcon!$B$19+UnitEcon!$B$20)*UnitEcon!$B$4-UnitEcon!$B$32-UnitEcon!$B$33)/F$5</f>
        <v>0.741579411990019</v>
      </c>
    </row>
    <row r="11" customFormat="false" ht="15" hidden="false" customHeight="false" outlineLevel="0" collapsed="false">
      <c r="A11" s="2" t="s">
        <v>250</v>
      </c>
    </row>
    <row r="13" customFormat="false" ht="15" hidden="false" customHeight="false" outlineLevel="0" collapsed="false">
      <c r="A13" s="32" t="s">
        <v>251</v>
      </c>
    </row>
    <row r="14" customFormat="false" ht="15" hidden="false" customHeight="false" outlineLevel="0" collapsed="false">
      <c r="A14" s="22" t="s">
        <v>252</v>
      </c>
      <c r="B14" s="22" t="s">
        <v>253</v>
      </c>
      <c r="C14" s="22" t="s">
        <v>254</v>
      </c>
      <c r="D14" s="22" t="s">
        <v>255</v>
      </c>
      <c r="E14" s="22" t="s">
        <v>256</v>
      </c>
      <c r="F14" s="22" t="s">
        <v>257</v>
      </c>
    </row>
    <row r="15" customFormat="false" ht="15" hidden="false" customHeight="false" outlineLevel="0" collapsed="false">
      <c r="A15" s="2" t="s">
        <v>258</v>
      </c>
      <c r="B15" s="16" t="n">
        <v>200</v>
      </c>
      <c r="C15" s="16" t="n">
        <v>400</v>
      </c>
      <c r="D15" s="16" t="n">
        <v>800</v>
      </c>
      <c r="E15" s="16" t="n">
        <v>1600</v>
      </c>
      <c r="F15" s="16" t="n">
        <v>3200</v>
      </c>
    </row>
    <row r="16" customFormat="false" ht="15" hidden="false" customHeight="false" outlineLevel="0" collapsed="false">
      <c r="A16" s="7" t="n">
        <v>0.1</v>
      </c>
      <c r="B16" s="21" t="n">
        <f aca="false">UnitEcon!$B$35*(1+Inputs!$B$45)/(Inputs!$B$45+$A16)/B$15</f>
        <v>19.6924746882763</v>
      </c>
      <c r="C16" s="21" t="n">
        <f aca="false">UnitEcon!$B$35*(1+Inputs!$B$45)/(Inputs!$B$45+$A16)/C$15</f>
        <v>9.84623734413816</v>
      </c>
      <c r="D16" s="21" t="n">
        <f aca="false">UnitEcon!$B$35*(1+Inputs!$B$45)/(Inputs!$B$45+$A16)/D$15</f>
        <v>4.92311867206908</v>
      </c>
      <c r="E16" s="21" t="n">
        <f aca="false">UnitEcon!$B$35*(1+Inputs!$B$45)/(Inputs!$B$45+$A16)/E$15</f>
        <v>2.46155933603454</v>
      </c>
      <c r="F16" s="21" t="n">
        <f aca="false">UnitEcon!$B$35*(1+Inputs!$B$45)/(Inputs!$B$45+$A16)/F$15</f>
        <v>1.23077966801727</v>
      </c>
    </row>
    <row r="17" customFormat="false" ht="15" hidden="false" customHeight="false" outlineLevel="0" collapsed="false">
      <c r="A17" s="7" t="n">
        <v>0.2</v>
      </c>
      <c r="B17" s="21" t="n">
        <f aca="false">UnitEcon!$B$35*(1+Inputs!$B$45)/(Inputs!$B$45+$A17)/B$15</f>
        <v>13.1283164588509</v>
      </c>
      <c r="C17" s="21" t="n">
        <f aca="false">UnitEcon!$B$35*(1+Inputs!$B$45)/(Inputs!$B$45+$A17)/C$15</f>
        <v>6.56415822942544</v>
      </c>
      <c r="D17" s="21" t="n">
        <f aca="false">UnitEcon!$B$35*(1+Inputs!$B$45)/(Inputs!$B$45+$A17)/D$15</f>
        <v>3.28207911471272</v>
      </c>
      <c r="E17" s="21" t="n">
        <f aca="false">UnitEcon!$B$35*(1+Inputs!$B$45)/(Inputs!$B$45+$A17)/E$15</f>
        <v>1.64103955735636</v>
      </c>
      <c r="F17" s="21" t="n">
        <f aca="false">UnitEcon!$B$35*(1+Inputs!$B$45)/(Inputs!$B$45+$A17)/F$15</f>
        <v>0.82051977867818</v>
      </c>
    </row>
    <row r="18" customFormat="false" ht="15" hidden="false" customHeight="false" outlineLevel="0" collapsed="false">
      <c r="A18" s="7" t="n">
        <v>0.3</v>
      </c>
      <c r="B18" s="21" t="n">
        <f aca="false">UnitEcon!$B$35*(1+Inputs!$B$45)/(Inputs!$B$45+$A18)/B$15</f>
        <v>9.84623734413816</v>
      </c>
      <c r="C18" s="21" t="n">
        <f aca="false">UnitEcon!$B$35*(1+Inputs!$B$45)/(Inputs!$B$45+$A18)/C$15</f>
        <v>4.92311867206908</v>
      </c>
      <c r="D18" s="21" t="n">
        <f aca="false">UnitEcon!$B$35*(1+Inputs!$B$45)/(Inputs!$B$45+$A18)/D$15</f>
        <v>2.46155933603454</v>
      </c>
      <c r="E18" s="21" t="n">
        <f aca="false">UnitEcon!$B$35*(1+Inputs!$B$45)/(Inputs!$B$45+$A18)/E$15</f>
        <v>1.23077966801727</v>
      </c>
      <c r="F18" s="21" t="n">
        <f aca="false">UnitEcon!$B$35*(1+Inputs!$B$45)/(Inputs!$B$45+$A18)/F$15</f>
        <v>0.615389834008635</v>
      </c>
    </row>
    <row r="19" customFormat="false" ht="15" hidden="false" customHeight="false" outlineLevel="0" collapsed="false">
      <c r="A19" s="7" t="n">
        <v>0.4</v>
      </c>
      <c r="B19" s="21" t="n">
        <f aca="false">UnitEcon!$B$35*(1+Inputs!$B$45)/(Inputs!$B$45+$A19)/B$15</f>
        <v>7.87698987531053</v>
      </c>
      <c r="C19" s="21" t="n">
        <f aca="false">UnitEcon!$B$35*(1+Inputs!$B$45)/(Inputs!$B$45+$A19)/C$15</f>
        <v>3.93849493765526</v>
      </c>
      <c r="D19" s="21" t="n">
        <f aca="false">UnitEcon!$B$35*(1+Inputs!$B$45)/(Inputs!$B$45+$A19)/D$15</f>
        <v>1.96924746882763</v>
      </c>
      <c r="E19" s="21" t="n">
        <f aca="false">UnitEcon!$B$35*(1+Inputs!$B$45)/(Inputs!$B$45+$A19)/E$15</f>
        <v>0.984623734413816</v>
      </c>
      <c r="F19" s="21" t="n">
        <f aca="false">UnitEcon!$B$35*(1+Inputs!$B$45)/(Inputs!$B$45+$A19)/F$15</f>
        <v>0.492311867206908</v>
      </c>
    </row>
    <row r="20" customFormat="false" ht="15" hidden="false" customHeight="false" outlineLevel="0" collapsed="false">
      <c r="A20" s="7" t="n">
        <v>0.5</v>
      </c>
      <c r="B20" s="21" t="n">
        <f aca="false">UnitEcon!$B$35*(1+Inputs!$B$45)/(Inputs!$B$45+$A20)/B$15</f>
        <v>6.56415822942544</v>
      </c>
      <c r="C20" s="21" t="n">
        <f aca="false">UnitEcon!$B$35*(1+Inputs!$B$45)/(Inputs!$B$45+$A20)/C$15</f>
        <v>3.28207911471272</v>
      </c>
      <c r="D20" s="21" t="n">
        <f aca="false">UnitEcon!$B$35*(1+Inputs!$B$45)/(Inputs!$B$45+$A20)/D$15</f>
        <v>1.64103955735636</v>
      </c>
      <c r="E20" s="21" t="n">
        <f aca="false">UnitEcon!$B$35*(1+Inputs!$B$45)/(Inputs!$B$45+$A20)/E$15</f>
        <v>0.82051977867818</v>
      </c>
      <c r="F20" s="21" t="n">
        <f aca="false">UnitEcon!$B$35*(1+Inputs!$B$45)/(Inputs!$B$45+$A20)/F$15</f>
        <v>0.41025988933909</v>
      </c>
    </row>
    <row r="23" customFormat="false" ht="15" hidden="false" customHeight="false" outlineLevel="0" collapsed="false">
      <c r="A23" s="32" t="s">
        <v>259</v>
      </c>
    </row>
    <row r="24" customFormat="false" ht="15" hidden="false" customHeight="false" outlineLevel="0" collapsed="false">
      <c r="A24" s="22" t="s">
        <v>260</v>
      </c>
      <c r="B24" s="22" t="s">
        <v>261</v>
      </c>
      <c r="C24" s="22" t="s">
        <v>262</v>
      </c>
      <c r="D24" s="22" t="s">
        <v>263</v>
      </c>
      <c r="E24" s="22" t="s">
        <v>264</v>
      </c>
      <c r="F24" s="22" t="s">
        <v>265</v>
      </c>
    </row>
    <row r="25" customFormat="false" ht="15" hidden="false" customHeight="false" outlineLevel="0" collapsed="false">
      <c r="A25" s="2" t="s">
        <v>266</v>
      </c>
      <c r="B25" s="10" t="n">
        <v>3</v>
      </c>
      <c r="C25" s="10" t="n">
        <v>9</v>
      </c>
      <c r="D25" s="10" t="n">
        <v>30</v>
      </c>
      <c r="E25" s="10" t="n">
        <v>60</v>
      </c>
      <c r="F25" s="10" t="n">
        <v>300</v>
      </c>
    </row>
    <row r="26" customFormat="false" ht="15" hidden="false" customHeight="false" outlineLevel="0" collapsed="false">
      <c r="A26" s="33" t="s">
        <v>177</v>
      </c>
      <c r="B26" s="30" t="n">
        <f aca="false">(UnitEcon!$B$10+UnitEcon!$B$11+UnitEcon!$B$13+Inputs!$B$12*B$25*INDEX(Benchmark!$B$26:$B$32,MATCH($A26,Benchmark!$A$26:$A$32,0))/1000)*Inputs!$B$22/3600*Inputs!$B$23</f>
        <v>0.0145547271940896</v>
      </c>
      <c r="C26" s="30" t="n">
        <f aca="false">(UnitEcon!$B$10+UnitEcon!$B$11+UnitEcon!$B$13+Inputs!$B$12*C$25*INDEX(Benchmark!$B$26:$B$32,MATCH($A26,Benchmark!$A$26:$A$32,0))/1000)*Inputs!$B$22/3600*Inputs!$B$23</f>
        <v>0.0162415521940896</v>
      </c>
      <c r="D26" s="30" t="n">
        <f aca="false">(UnitEcon!$B$10+UnitEcon!$B$11+UnitEcon!$B$13+Inputs!$B$12*D$25*INDEX(Benchmark!$B$26:$B$32,MATCH($A26,Benchmark!$A$26:$A$32,0))/1000)*Inputs!$B$22/3600*Inputs!$B$23</f>
        <v>0.0221454396940896</v>
      </c>
      <c r="E26" s="30" t="n">
        <f aca="false">(UnitEcon!$B$10+UnitEcon!$B$11+UnitEcon!$B$13+Inputs!$B$12*E$25*INDEX(Benchmark!$B$26:$B$32,MATCH($A26,Benchmark!$A$26:$A$32,0))/1000)*Inputs!$B$22/3600*Inputs!$B$23</f>
        <v>0.0305795646940896</v>
      </c>
      <c r="F26" s="30" t="n">
        <f aca="false">(UnitEcon!$B$10+UnitEcon!$B$11+UnitEcon!$B$13+Inputs!$B$12*F$25*INDEX(Benchmark!$B$26:$B$32,MATCH($A26,Benchmark!$A$26:$A$32,0))/1000)*Inputs!$B$22/3600*Inputs!$B$23</f>
        <v>0.0980525646940896</v>
      </c>
    </row>
    <row r="27" customFormat="false" ht="15" hidden="false" customHeight="false" outlineLevel="0" collapsed="false">
      <c r="A27" s="33" t="s">
        <v>179</v>
      </c>
      <c r="B27" s="30" t="n">
        <f aca="false">(UnitEcon!$B$10+UnitEcon!$B$11+UnitEcon!$B$13+Inputs!$B$12*B$25*INDEX(Benchmark!$B$26:$B$32,MATCH($A27,Benchmark!$A$26:$A$32,0))/1000)*Inputs!$B$22/3600*Inputs!$B$23</f>
        <v>0.0155504225065896</v>
      </c>
      <c r="C27" s="30" t="n">
        <f aca="false">(UnitEcon!$B$10+UnitEcon!$B$11+UnitEcon!$B$13+Inputs!$B$12*C$25*INDEX(Benchmark!$B$26:$B$32,MATCH($A27,Benchmark!$A$26:$A$32,0))/1000)*Inputs!$B$22/3600*Inputs!$B$23</f>
        <v>0.0192286381315896</v>
      </c>
      <c r="D27" s="30" t="n">
        <f aca="false">(UnitEcon!$B$10+UnitEcon!$B$11+UnitEcon!$B$13+Inputs!$B$12*D$25*INDEX(Benchmark!$B$26:$B$32,MATCH($A27,Benchmark!$A$26:$A$32,0))/1000)*Inputs!$B$22/3600*Inputs!$B$23</f>
        <v>0.0321023928190896</v>
      </c>
      <c r="E27" s="30" t="n">
        <f aca="false">(UnitEcon!$B$10+UnitEcon!$B$11+UnitEcon!$B$13+Inputs!$B$12*E$25*INDEX(Benchmark!$B$26:$B$32,MATCH($A27,Benchmark!$A$26:$A$32,0))/1000)*Inputs!$B$22/3600*Inputs!$B$23</f>
        <v>0.0504934709440896</v>
      </c>
      <c r="F27" s="30" t="n">
        <f aca="false">(UnitEcon!$B$10+UnitEcon!$B$11+UnitEcon!$B$13+Inputs!$B$12*F$25*INDEX(Benchmark!$B$26:$B$32,MATCH($A27,Benchmark!$A$26:$A$32,0))/1000)*Inputs!$B$22/3600*Inputs!$B$23</f>
        <v>0.19762209594409</v>
      </c>
    </row>
    <row r="28" customFormat="false" ht="15" hidden="false" customHeight="false" outlineLevel="0" collapsed="false">
      <c r="A28" s="33" t="s">
        <v>47</v>
      </c>
      <c r="B28" s="30" t="n">
        <f aca="false">(UnitEcon!$B$10+UnitEcon!$B$11+UnitEcon!$B$13+Inputs!$B$12*B$25*INDEX(Benchmark!$B$26:$B$32,MATCH($A28,Benchmark!$A$26:$A$32,0))/1000)*Inputs!$B$22/3600*Inputs!$B$23</f>
        <v>0.0192622184440896</v>
      </c>
      <c r="C28" s="30" t="n">
        <f aca="false">(UnitEcon!$B$10+UnitEcon!$B$11+UnitEcon!$B$13+Inputs!$B$12*C$25*INDEX(Benchmark!$B$26:$B$32,MATCH($A28,Benchmark!$A$26:$A$32,0))/1000)*Inputs!$B$22/3600*Inputs!$B$23</f>
        <v>0.0303640259440896</v>
      </c>
      <c r="D28" s="30" t="n">
        <f aca="false">(UnitEcon!$B$10+UnitEcon!$B$11+UnitEcon!$B$13+Inputs!$B$12*D$25*INDEX(Benchmark!$B$26:$B$32,MATCH($A28,Benchmark!$A$26:$A$32,0))/1000)*Inputs!$B$22/3600*Inputs!$B$23</f>
        <v>0.0692203521940896</v>
      </c>
      <c r="E28" s="30" t="n">
        <f aca="false">(UnitEcon!$B$10+UnitEcon!$B$11+UnitEcon!$B$13+Inputs!$B$12*E$25*INDEX(Benchmark!$B$26:$B$32,MATCH($A28,Benchmark!$A$26:$A$32,0))/1000)*Inputs!$B$22/3600*Inputs!$B$23</f>
        <v>0.12472938969409</v>
      </c>
      <c r="F28" s="30" t="n">
        <f aca="false">(UnitEcon!$B$10+UnitEcon!$B$11+UnitEcon!$B$13+Inputs!$B$12*F$25*INDEX(Benchmark!$B$26:$B$32,MATCH($A28,Benchmark!$A$26:$A$32,0))/1000)*Inputs!$B$22/3600*Inputs!$B$23</f>
        <v>0.56880168969409</v>
      </c>
    </row>
    <row r="29" customFormat="false" ht="15" hidden="false" customHeight="false" outlineLevel="0" collapsed="false">
      <c r="A29" s="33" t="s">
        <v>182</v>
      </c>
      <c r="B29" s="30" t="n">
        <f aca="false">(UnitEcon!$B$10+UnitEcon!$B$11+UnitEcon!$B$13+Inputs!$B$12*B$25*INDEX(Benchmark!$B$26:$B$32,MATCH($A29,Benchmark!$A$26:$A$32,0))/1000)*Inputs!$B$22/3600*Inputs!$B$23</f>
        <v>0.0186749534440896</v>
      </c>
      <c r="C29" s="30" t="n">
        <f aca="false">(UnitEcon!$B$10+UnitEcon!$B$11+UnitEcon!$B$13+Inputs!$B$12*C$25*INDEX(Benchmark!$B$26:$B$32,MATCH($A29,Benchmark!$A$26:$A$32,0))/1000)*Inputs!$B$22/3600*Inputs!$B$23</f>
        <v>0.0286022309440896</v>
      </c>
      <c r="D29" s="30" t="n">
        <f aca="false">(UnitEcon!$B$10+UnitEcon!$B$11+UnitEcon!$B$13+Inputs!$B$12*D$25*INDEX(Benchmark!$B$26:$B$32,MATCH($A29,Benchmark!$A$26:$A$32,0))/1000)*Inputs!$B$22/3600*Inputs!$B$23</f>
        <v>0.0633477021940896</v>
      </c>
      <c r="E29" s="30" t="n">
        <f aca="false">(UnitEcon!$B$10+UnitEcon!$B$11+UnitEcon!$B$13+Inputs!$B$12*E$25*INDEX(Benchmark!$B$26:$B$32,MATCH($A29,Benchmark!$A$26:$A$32,0))/1000)*Inputs!$B$22/3600*Inputs!$B$23</f>
        <v>0.11298408969409</v>
      </c>
      <c r="F29" s="30" t="n">
        <f aca="false">(UnitEcon!$B$10+UnitEcon!$B$11+UnitEcon!$B$13+Inputs!$B$12*F$25*INDEX(Benchmark!$B$26:$B$32,MATCH($A29,Benchmark!$A$26:$A$32,0))/1000)*Inputs!$B$22/3600*Inputs!$B$23</f>
        <v>0.51007518969409</v>
      </c>
    </row>
    <row r="30" customFormat="false" ht="15" hidden="false" customHeight="false" outlineLevel="0" collapsed="false">
      <c r="A30" s="33" t="s">
        <v>184</v>
      </c>
      <c r="B30" s="30" t="n">
        <f aca="false">(UnitEcon!$B$10+UnitEcon!$B$11+UnitEcon!$B$13+Inputs!$B$12*B$25*INDEX(Benchmark!$B$26:$B$32,MATCH($A30,Benchmark!$A$26:$A$32,0))/1000)*Inputs!$B$22/3600*Inputs!$B$23</f>
        <v>0.0169334628190896</v>
      </c>
      <c r="C30" s="30" t="n">
        <f aca="false">(UnitEcon!$B$10+UnitEcon!$B$11+UnitEcon!$B$13+Inputs!$B$12*C$25*INDEX(Benchmark!$B$26:$B$32,MATCH($A30,Benchmark!$A$26:$A$32,0))/1000)*Inputs!$B$22/3600*Inputs!$B$23</f>
        <v>0.0233777590690896</v>
      </c>
      <c r="D30" s="30" t="n">
        <f aca="false">(UnitEcon!$B$10+UnitEcon!$B$11+UnitEcon!$B$13+Inputs!$B$12*D$25*INDEX(Benchmark!$B$26:$B$32,MATCH($A30,Benchmark!$A$26:$A$32,0))/1000)*Inputs!$B$22/3600*Inputs!$B$23</f>
        <v>0.0459327959440896</v>
      </c>
      <c r="E30" s="30" t="n">
        <f aca="false">(UnitEcon!$B$10+UnitEcon!$B$11+UnitEcon!$B$13+Inputs!$B$12*E$25*INDEX(Benchmark!$B$26:$B$32,MATCH($A30,Benchmark!$A$26:$A$32,0))/1000)*Inputs!$B$22/3600*Inputs!$B$23</f>
        <v>0.0781542771940896</v>
      </c>
      <c r="F30" s="30" t="n">
        <f aca="false">(UnitEcon!$B$10+UnitEcon!$B$11+UnitEcon!$B$13+Inputs!$B$12*F$25*INDEX(Benchmark!$B$26:$B$32,MATCH($A30,Benchmark!$A$26:$A$32,0))/1000)*Inputs!$B$22/3600*Inputs!$B$23</f>
        <v>0.33592612719409</v>
      </c>
    </row>
    <row r="31" customFormat="false" ht="15" hidden="false" customHeight="false" outlineLevel="0" collapsed="false">
      <c r="A31" s="33" t="s">
        <v>186</v>
      </c>
      <c r="B31" s="30" t="n">
        <f aca="false">(UnitEcon!$B$10+UnitEcon!$B$11+UnitEcon!$B$13+Inputs!$B$12*B$25*INDEX(Benchmark!$B$26:$B$32,MATCH($A31,Benchmark!$A$26:$A$32,0))/1000)*Inputs!$B$22/3600*Inputs!$B$23</f>
        <v>0.0221032690690896</v>
      </c>
      <c r="C31" s="30" t="n">
        <f aca="false">(UnitEcon!$B$10+UnitEcon!$B$11+UnitEcon!$B$13+Inputs!$B$12*C$25*INDEX(Benchmark!$B$26:$B$32,MATCH($A31,Benchmark!$A$26:$A$32,0))/1000)*Inputs!$B$22/3600*Inputs!$B$23</f>
        <v>0.0388871778190896</v>
      </c>
      <c r="D31" s="30" t="n">
        <f aca="false">(UnitEcon!$B$10+UnitEcon!$B$11+UnitEcon!$B$13+Inputs!$B$12*D$25*INDEX(Benchmark!$B$26:$B$32,MATCH($A31,Benchmark!$A$26:$A$32,0))/1000)*Inputs!$B$22/3600*Inputs!$B$23</f>
        <v>0.0976308584440896</v>
      </c>
      <c r="E31" s="30" t="n">
        <f aca="false">(UnitEcon!$B$10+UnitEcon!$B$11+UnitEcon!$B$13+Inputs!$B$12*E$25*INDEX(Benchmark!$B$26:$B$32,MATCH($A31,Benchmark!$A$26:$A$32,0))/1000)*Inputs!$B$22/3600*Inputs!$B$23</f>
        <v>0.18155040219409</v>
      </c>
      <c r="F31" s="30" t="n">
        <f aca="false">(UnitEcon!$B$10+UnitEcon!$B$11+UnitEcon!$B$13+Inputs!$B$12*F$25*INDEX(Benchmark!$B$26:$B$32,MATCH($A31,Benchmark!$A$26:$A$32,0))/1000)*Inputs!$B$22/3600*Inputs!$B$23</f>
        <v>0.852906752194089</v>
      </c>
    </row>
    <row r="32" customFormat="false" ht="15" hidden="false" customHeight="false" outlineLevel="0" collapsed="false">
      <c r="A32" s="33" t="s">
        <v>188</v>
      </c>
      <c r="B32" s="30" t="n">
        <f aca="false">(UnitEcon!$B$10+UnitEcon!$B$11+UnitEcon!$B$13+Inputs!$B$12*B$25*INDEX(Benchmark!$B$26:$B$32,MATCH($A32,Benchmark!$A$26:$A$32,0))/1000)*Inputs!$B$22/3600*Inputs!$B$23</f>
        <v>0.0382561803190896</v>
      </c>
      <c r="C32" s="30" t="n">
        <f aca="false">(UnitEcon!$B$10+UnitEcon!$B$11+UnitEcon!$B$13+Inputs!$B$12*C$25*INDEX(Benchmark!$B$26:$B$32,MATCH($A32,Benchmark!$A$26:$A$32,0))/1000)*Inputs!$B$22/3600*Inputs!$B$23</f>
        <v>0.0873459115690896</v>
      </c>
      <c r="D32" s="30" t="n">
        <f aca="false">(UnitEcon!$B$10+UnitEcon!$B$11+UnitEcon!$B$13+Inputs!$B$12*D$25*INDEX(Benchmark!$B$26:$B$32,MATCH($A32,Benchmark!$A$26:$A$32,0))/1000)*Inputs!$B$22/3600*Inputs!$B$23</f>
        <v>0.25915997094409</v>
      </c>
      <c r="E32" s="30" t="n">
        <f aca="false">(UnitEcon!$B$10+UnitEcon!$B$11+UnitEcon!$B$13+Inputs!$B$12*E$25*INDEX(Benchmark!$B$26:$B$32,MATCH($A32,Benchmark!$A$26:$A$32,0))/1000)*Inputs!$B$22/3600*Inputs!$B$23</f>
        <v>0.50460862719409</v>
      </c>
      <c r="F32" s="30" t="n">
        <f aca="false">(UnitEcon!$B$10+UnitEcon!$B$11+UnitEcon!$B$13+Inputs!$B$12*F$25*INDEX(Benchmark!$B$26:$B$32,MATCH($A32,Benchmark!$A$26:$A$32,0))/1000)*Inputs!$B$22/3600*Inputs!$B$23</f>
        <v>2.46819787719409</v>
      </c>
    </row>
    <row r="33" customFormat="false" ht="15" hidden="false" customHeight="false" outlineLevel="0" collapsed="false">
      <c r="A33" s="2" t="s">
        <v>267</v>
      </c>
    </row>
    <row r="36" customFormat="false" ht="15" hidden="false" customHeight="false" outlineLevel="0" collapsed="false">
      <c r="A36" s="32" t="s">
        <v>268</v>
      </c>
    </row>
    <row r="37" customFormat="false" ht="15" hidden="false" customHeight="false" outlineLevel="0" collapsed="false">
      <c r="A37" s="22" t="s">
        <v>269</v>
      </c>
      <c r="B37" s="22" t="s">
        <v>244</v>
      </c>
      <c r="C37" s="22" t="s">
        <v>245</v>
      </c>
      <c r="D37" s="22" t="s">
        <v>246</v>
      </c>
      <c r="E37" s="22" t="s">
        <v>247</v>
      </c>
      <c r="F37" s="22" t="s">
        <v>248</v>
      </c>
    </row>
    <row r="38" customFormat="false" ht="15" hidden="false" customHeight="false" outlineLevel="0" collapsed="false">
      <c r="A38" s="2" t="s">
        <v>249</v>
      </c>
      <c r="B38" s="16" t="n">
        <v>300</v>
      </c>
      <c r="C38" s="16" t="n">
        <v>600</v>
      </c>
      <c r="D38" s="16" t="n">
        <v>900</v>
      </c>
      <c r="E38" s="16" t="n">
        <v>1200</v>
      </c>
      <c r="F38" s="16" t="n">
        <v>1800</v>
      </c>
    </row>
    <row r="39" customFormat="false" ht="15" hidden="false" customHeight="false" outlineLevel="0" collapsed="false">
      <c r="A39" s="16" t="n">
        <v>6500</v>
      </c>
      <c r="B39" s="24" t="n">
        <f aca="false">IF((B$38*(1-Inputs!$B$6)-UnitEcon!$B$31-UnitEcon!$B$32-UnitEcon!$B$33)&gt;0,$A39/(B$38*(1-Inputs!$B$6)-UnitEcon!$B$31-UnitEcon!$B$32-UnitEcon!$B$33),0)</f>
        <v>49.584259379493</v>
      </c>
      <c r="C39" s="24" t="n">
        <f aca="false">IF((C$38*(1-Inputs!$B$6)-UnitEcon!$B$31-UnitEcon!$B$32-UnitEcon!$B$33)&gt;0,$A39/(C$38*(1-Inputs!$B$6)-UnitEcon!$B$31-UnitEcon!$B$32-UnitEcon!$B$33),0)</f>
        <v>15.3450274414932</v>
      </c>
      <c r="D39" s="24" t="n">
        <f aca="false">IF((D$38*(1-Inputs!$B$6)-UnitEcon!$B$31-UnitEcon!$B$32-UnitEcon!$B$33)&gt;0,$A39/(D$38*(1-Inputs!$B$6)-UnitEcon!$B$31-UnitEcon!$B$32-UnitEcon!$B$33),0)</f>
        <v>9.07707146153737</v>
      </c>
      <c r="E39" s="24" t="n">
        <f aca="false">IF((E$38*(1-Inputs!$B$6)-UnitEcon!$B$31-UnitEcon!$B$32-UnitEcon!$B$33)&gt;0,$A39/(E$38*(1-Inputs!$B$6)-UnitEcon!$B$31-UnitEcon!$B$32-UnitEcon!$B$33),0)</f>
        <v>6.44464061021091</v>
      </c>
      <c r="F39" s="24" t="n">
        <f aca="false">IF((F$38*(1-Inputs!$B$6)-UnitEcon!$B$31-UnitEcon!$B$32-UnitEcon!$B$33)&gt;0,$A39/(F$38*(1-Inputs!$B$6)-UnitEcon!$B$31-UnitEcon!$B$32-UnitEcon!$B$33),0)</f>
        <v>4.07884088519338</v>
      </c>
    </row>
    <row r="40" customFormat="false" ht="15" hidden="false" customHeight="false" outlineLevel="0" collapsed="false">
      <c r="A40" s="16" t="n">
        <v>25000</v>
      </c>
      <c r="B40" s="24" t="n">
        <f aca="false">IF((B$38*(1-Inputs!$B$6)-UnitEcon!$B$31-UnitEcon!$B$32-UnitEcon!$B$33)&gt;0,$A40/(B$38*(1-Inputs!$B$6)-UnitEcon!$B$31-UnitEcon!$B$32-UnitEcon!$B$33),0)</f>
        <v>190.708689921127</v>
      </c>
      <c r="C40" s="24" t="n">
        <f aca="false">IF((C$38*(1-Inputs!$B$6)-UnitEcon!$B$31-UnitEcon!$B$32-UnitEcon!$B$33)&gt;0,$A40/(C$38*(1-Inputs!$B$6)-UnitEcon!$B$31-UnitEcon!$B$32-UnitEcon!$B$33),0)</f>
        <v>59.0193363134356</v>
      </c>
      <c r="D40" s="24" t="n">
        <f aca="false">IF((D$38*(1-Inputs!$B$6)-UnitEcon!$B$31-UnitEcon!$B$32-UnitEcon!$B$33)&gt;0,$A40/(D$38*(1-Inputs!$B$6)-UnitEcon!$B$31-UnitEcon!$B$32-UnitEcon!$B$33),0)</f>
        <v>34.9118133136053</v>
      </c>
      <c r="E40" s="24" t="n">
        <f aca="false">IF((E$38*(1-Inputs!$B$6)-UnitEcon!$B$31-UnitEcon!$B$32-UnitEcon!$B$33)&gt;0,$A40/(E$38*(1-Inputs!$B$6)-UnitEcon!$B$31-UnitEcon!$B$32-UnitEcon!$B$33),0)</f>
        <v>24.787079270042</v>
      </c>
      <c r="F40" s="24" t="n">
        <f aca="false">IF((F$38*(1-Inputs!$B$6)-UnitEcon!$B$31-UnitEcon!$B$32-UnitEcon!$B$33)&gt;0,$A40/(F$38*(1-Inputs!$B$6)-UnitEcon!$B$31-UnitEcon!$B$32-UnitEcon!$B$33),0)</f>
        <v>15.6878495584361</v>
      </c>
    </row>
    <row r="41" customFormat="false" ht="15" hidden="false" customHeight="false" outlineLevel="0" collapsed="false">
      <c r="A41" s="16" t="n">
        <v>100000</v>
      </c>
      <c r="B41" s="24" t="n">
        <f aca="false">IF((B$38*(1-Inputs!$B$6)-UnitEcon!$B$31-UnitEcon!$B$32-UnitEcon!$B$33)&gt;0,$A41/(B$38*(1-Inputs!$B$6)-UnitEcon!$B$31-UnitEcon!$B$32-UnitEcon!$B$33),0)</f>
        <v>762.834759684508</v>
      </c>
      <c r="C41" s="24" t="n">
        <f aca="false">IF((C$38*(1-Inputs!$B$6)-UnitEcon!$B$31-UnitEcon!$B$32-UnitEcon!$B$33)&gt;0,$A41/(C$38*(1-Inputs!$B$6)-UnitEcon!$B$31-UnitEcon!$B$32-UnitEcon!$B$33),0)</f>
        <v>236.077345253742</v>
      </c>
      <c r="D41" s="24" t="n">
        <f aca="false">IF((D$38*(1-Inputs!$B$6)-UnitEcon!$B$31-UnitEcon!$B$32-UnitEcon!$B$33)&gt;0,$A41/(D$38*(1-Inputs!$B$6)-UnitEcon!$B$31-UnitEcon!$B$32-UnitEcon!$B$33),0)</f>
        <v>139.647253254421</v>
      </c>
      <c r="E41" s="24" t="n">
        <f aca="false">IF((E$38*(1-Inputs!$B$6)-UnitEcon!$B$31-UnitEcon!$B$32-UnitEcon!$B$33)&gt;0,$A41/(E$38*(1-Inputs!$B$6)-UnitEcon!$B$31-UnitEcon!$B$32-UnitEcon!$B$33),0)</f>
        <v>99.1483170801678</v>
      </c>
      <c r="F41" s="24" t="n">
        <f aca="false">IF((F$38*(1-Inputs!$B$6)-UnitEcon!$B$31-UnitEcon!$B$32-UnitEcon!$B$33)&gt;0,$A41/(F$38*(1-Inputs!$B$6)-UnitEcon!$B$31-UnitEcon!$B$32-UnitEcon!$B$33),0)</f>
        <v>62.7513982337443</v>
      </c>
    </row>
    <row r="42" customFormat="false" ht="15" hidden="false" customHeight="false" outlineLevel="0" collapsed="false">
      <c r="A42" s="16" t="n">
        <v>200000</v>
      </c>
      <c r="B42" s="24" t="n">
        <f aca="false">IF((B$38*(1-Inputs!$B$6)-UnitEcon!$B$31-UnitEcon!$B$32-UnitEcon!$B$33)&gt;0,$A42/(B$38*(1-Inputs!$B$6)-UnitEcon!$B$31-UnitEcon!$B$32-UnitEcon!$B$33),0)</f>
        <v>1525.66951936902</v>
      </c>
      <c r="C42" s="24" t="n">
        <f aca="false">IF((C$38*(1-Inputs!$B$6)-UnitEcon!$B$31-UnitEcon!$B$32-UnitEcon!$B$33)&gt;0,$A42/(C$38*(1-Inputs!$B$6)-UnitEcon!$B$31-UnitEcon!$B$32-UnitEcon!$B$33),0)</f>
        <v>472.154690507485</v>
      </c>
      <c r="D42" s="24" t="n">
        <f aca="false">IF((D$38*(1-Inputs!$B$6)-UnitEcon!$B$31-UnitEcon!$B$32-UnitEcon!$B$33)&gt;0,$A42/(D$38*(1-Inputs!$B$6)-UnitEcon!$B$31-UnitEcon!$B$32-UnitEcon!$B$33),0)</f>
        <v>279.294506508842</v>
      </c>
      <c r="E42" s="24" t="n">
        <f aca="false">IF((E$38*(1-Inputs!$B$6)-UnitEcon!$B$31-UnitEcon!$B$32-UnitEcon!$B$33)&gt;0,$A42/(E$38*(1-Inputs!$B$6)-UnitEcon!$B$31-UnitEcon!$B$32-UnitEcon!$B$33),0)</f>
        <v>198.296634160336</v>
      </c>
      <c r="F42" s="24" t="n">
        <f aca="false">IF((F$38*(1-Inputs!$B$6)-UnitEcon!$B$31-UnitEcon!$B$32-UnitEcon!$B$33)&gt;0,$A42/(F$38*(1-Inputs!$B$6)-UnitEcon!$B$31-UnitEcon!$B$32-UnitEcon!$B$33),0)</f>
        <v>125.502796467489</v>
      </c>
    </row>
    <row r="43" customFormat="false" ht="15" hidden="false" customHeight="false" outlineLevel="0" collapsed="false">
      <c r="A43" s="16" t="n">
        <v>400000</v>
      </c>
      <c r="B43" s="24" t="n">
        <f aca="false">IF((B$38*(1-Inputs!$B$6)-UnitEcon!$B$31-UnitEcon!$B$32-UnitEcon!$B$33)&gt;0,$A43/(B$38*(1-Inputs!$B$6)-UnitEcon!$B$31-UnitEcon!$B$32-UnitEcon!$B$33),0)</f>
        <v>3051.33903873803</v>
      </c>
      <c r="C43" s="24" t="n">
        <f aca="false">IF((C$38*(1-Inputs!$B$6)-UnitEcon!$B$31-UnitEcon!$B$32-UnitEcon!$B$33)&gt;0,$A43/(C$38*(1-Inputs!$B$6)-UnitEcon!$B$31-UnitEcon!$B$32-UnitEcon!$B$33),0)</f>
        <v>944.309381014969</v>
      </c>
      <c r="D43" s="24" t="n">
        <f aca="false">IF((D$38*(1-Inputs!$B$6)-UnitEcon!$B$31-UnitEcon!$B$32-UnitEcon!$B$33)&gt;0,$A43/(D$38*(1-Inputs!$B$6)-UnitEcon!$B$31-UnitEcon!$B$32-UnitEcon!$B$33),0)</f>
        <v>558.589013017684</v>
      </c>
      <c r="E43" s="24" t="n">
        <f aca="false">IF((E$38*(1-Inputs!$B$6)-UnitEcon!$B$31-UnitEcon!$B$32-UnitEcon!$B$33)&gt;0,$A43/(E$38*(1-Inputs!$B$6)-UnitEcon!$B$31-UnitEcon!$B$32-UnitEcon!$B$33),0)</f>
        <v>396.593268320671</v>
      </c>
      <c r="F43" s="24" t="n">
        <f aca="false">IF((F$38*(1-Inputs!$B$6)-UnitEcon!$B$31-UnitEcon!$B$32-UnitEcon!$B$33)&gt;0,$A43/(F$38*(1-Inputs!$B$6)-UnitEcon!$B$31-UnitEcon!$B$32-UnitEcon!$B$33),0)</f>
        <v>251.005592934977</v>
      </c>
    </row>
    <row r="44" customFormat="false" ht="15" hidden="false" customHeight="false" outlineLevel="0" collapsed="false">
      <c r="A44" s="2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11" min="9" style="0" width="12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271</v>
      </c>
    </row>
    <row r="3" customFormat="false" ht="39.55" hidden="false" customHeight="false" outlineLevel="0" collapsed="false">
      <c r="A3" s="22" t="s">
        <v>272</v>
      </c>
      <c r="B3" s="22" t="s">
        <v>273</v>
      </c>
      <c r="C3" s="22" t="s">
        <v>274</v>
      </c>
      <c r="D3" s="22" t="s">
        <v>275</v>
      </c>
      <c r="E3" s="22" t="s">
        <v>276</v>
      </c>
      <c r="F3" s="22" t="s">
        <v>277</v>
      </c>
      <c r="G3" s="22" t="s">
        <v>278</v>
      </c>
      <c r="H3" s="22" t="s">
        <v>279</v>
      </c>
      <c r="I3" s="22" t="s">
        <v>280</v>
      </c>
      <c r="J3" s="22" t="s">
        <v>281</v>
      </c>
      <c r="K3" s="22" t="s">
        <v>282</v>
      </c>
      <c r="L3" s="22" t="s">
        <v>283</v>
      </c>
      <c r="M3" s="22" t="s">
        <v>104</v>
      </c>
      <c r="N3" s="22" t="s">
        <v>284</v>
      </c>
      <c r="O3" s="22" t="s">
        <v>285</v>
      </c>
      <c r="Q3" s="32" t="s">
        <v>286</v>
      </c>
      <c r="R3" s="32" t="s">
        <v>287</v>
      </c>
    </row>
    <row r="4" customFormat="false" ht="15" hidden="false" customHeight="false" outlineLevel="0" collapsed="false">
      <c r="A4" s="34" t="n">
        <v>46388</v>
      </c>
      <c r="B4" s="35" t="n">
        <f aca="false">YEAR(A4)</f>
        <v>2027</v>
      </c>
      <c r="C4" s="35" t="n">
        <f aca="false">MONTH(A4)</f>
        <v>1</v>
      </c>
      <c r="D4" s="36" t="n">
        <f aca="false">INDEX(Inputs!$B$57:$B$68,C4)</f>
        <v>0</v>
      </c>
      <c r="E4" s="24" t="n">
        <f aca="false">INDEX($R$4:$R$7,MATCH(B4,$Q$4:$Q$7,0))</f>
        <v>0</v>
      </c>
      <c r="F4" s="24" t="n">
        <f aca="false">IF(B4=2027,Inputs!$B$53,0)</f>
        <v>8</v>
      </c>
      <c r="G4" s="23" t="n">
        <f aca="false">MAX(0,E4-IF(B4=2027,0,INDEX($R$4:$R$7,MATCH(B4-1,$Q$4:$Q$7,0)))*(1-Inputs!$B$44))</f>
        <v>0</v>
      </c>
      <c r="H4" s="29" t="n">
        <f aca="false">IF(C4=8,E4*Inputs!$B$5,0)</f>
        <v>0</v>
      </c>
      <c r="I4" s="30" t="n">
        <f aca="false">(E4+F4)*UnitEcon!$B$31*D4</f>
        <v>0</v>
      </c>
      <c r="J4" s="29" t="n">
        <f aca="false">(E4+F4)*(UnitEcon!$B$32+UnitEcon!$B$33)*D4+IF(C4=8,G4*Inputs!$B$38*Inputs!$B$37,0)</f>
        <v>0</v>
      </c>
      <c r="K4" s="29" t="n">
        <f aca="false">H4*Inputs!$B$6</f>
        <v>0</v>
      </c>
      <c r="L4" s="29" t="n">
        <f aca="false">IF(AND(C4&gt;=4,C4&lt;=7),G4*Inputs!$B$43/4,0)</f>
        <v>0</v>
      </c>
      <c r="M4" s="29" t="n">
        <f aca="false">Inputs!$B$48+IF(C4=7,Inputs!$B$49,0)+IF(AND(B4=2027,C4=1),Inputs!$B$50,0)</f>
        <v>3250</v>
      </c>
      <c r="N4" s="29" t="n">
        <f aca="false">H4-I4-J4-K4-L4-M4</f>
        <v>-3250</v>
      </c>
      <c r="O4" s="29" t="n">
        <f aca="false">N4</f>
        <v>-3250</v>
      </c>
      <c r="Q4" s="33" t="n">
        <v>2027</v>
      </c>
      <c r="R4" s="10" t="n">
        <v>0</v>
      </c>
    </row>
    <row r="5" customFormat="false" ht="15" hidden="false" customHeight="false" outlineLevel="0" collapsed="false">
      <c r="A5" s="34" t="n">
        <v>46419</v>
      </c>
      <c r="B5" s="35" t="n">
        <f aca="false">YEAR(A5)</f>
        <v>2027</v>
      </c>
      <c r="C5" s="35" t="n">
        <f aca="false">MONTH(A5)</f>
        <v>2</v>
      </c>
      <c r="D5" s="36" t="n">
        <f aca="false">INDEX(Inputs!$B$57:$B$68,C5)</f>
        <v>0</v>
      </c>
      <c r="E5" s="24" t="n">
        <f aca="false">INDEX($R$4:$R$7,MATCH(B5,$Q$4:$Q$7,0))</f>
        <v>0</v>
      </c>
      <c r="F5" s="24" t="n">
        <f aca="false">IF(B5=2027,Inputs!$B$53,0)</f>
        <v>8</v>
      </c>
      <c r="G5" s="23" t="n">
        <f aca="false">MAX(0,E5-IF(B5=2027,0,INDEX($R$4:$R$7,MATCH(B5-1,$Q$4:$Q$7,0)))*(1-Inputs!$B$44))</f>
        <v>0</v>
      </c>
      <c r="H5" s="29" t="n">
        <f aca="false">IF(C5=8,E5*Inputs!$B$5,0)</f>
        <v>0</v>
      </c>
      <c r="I5" s="30" t="n">
        <f aca="false">(E5+F5)*UnitEcon!$B$31*D5</f>
        <v>0</v>
      </c>
      <c r="J5" s="29" t="n">
        <f aca="false">(E5+F5)*(UnitEcon!$B$32+UnitEcon!$B$33)*D5+IF(C5=8,G5*Inputs!$B$38*Inputs!$B$37,0)</f>
        <v>0</v>
      </c>
      <c r="K5" s="29" t="n">
        <f aca="false">H5*Inputs!$B$6</f>
        <v>0</v>
      </c>
      <c r="L5" s="29" t="n">
        <f aca="false">IF(AND(C5&gt;=4,C5&lt;=7),G5*Inputs!$B$43/4,0)</f>
        <v>0</v>
      </c>
      <c r="M5" s="29" t="n">
        <f aca="false">Inputs!$B$48+IF(C5=7,Inputs!$B$49,0)+IF(AND(B5=2027,C5=1),Inputs!$B$50,0)</f>
        <v>250</v>
      </c>
      <c r="N5" s="29" t="n">
        <f aca="false">H5-I5-J5-K5-L5-M5</f>
        <v>-250</v>
      </c>
      <c r="O5" s="29" t="n">
        <f aca="false">O4+N5</f>
        <v>-3500</v>
      </c>
      <c r="Q5" s="33" t="n">
        <v>2028</v>
      </c>
      <c r="R5" s="37" t="n">
        <f aca="false">INDEX(Adoption!$B$6:$D$9,2,Inputs!$B$54)</f>
        <v>29</v>
      </c>
    </row>
    <row r="6" customFormat="false" ht="15" hidden="false" customHeight="false" outlineLevel="0" collapsed="false">
      <c r="A6" s="34" t="n">
        <v>46447</v>
      </c>
      <c r="B6" s="35" t="n">
        <f aca="false">YEAR(A6)</f>
        <v>2027</v>
      </c>
      <c r="C6" s="35" t="n">
        <f aca="false">MONTH(A6)</f>
        <v>3</v>
      </c>
      <c r="D6" s="36" t="n">
        <f aca="false">INDEX(Inputs!$B$57:$B$68,C6)</f>
        <v>0.02</v>
      </c>
      <c r="E6" s="24" t="n">
        <f aca="false">INDEX($R$4:$R$7,MATCH(B6,$Q$4:$Q$7,0))</f>
        <v>0</v>
      </c>
      <c r="F6" s="24" t="n">
        <f aca="false">IF(B6=2027,Inputs!$B$53,0)</f>
        <v>8</v>
      </c>
      <c r="G6" s="23" t="n">
        <f aca="false">MAX(0,E6-IF(B6=2027,0,INDEX($R$4:$R$7,MATCH(B6-1,$Q$4:$Q$7,0)))*(1-Inputs!$B$44))</f>
        <v>0</v>
      </c>
      <c r="H6" s="29" t="n">
        <f aca="false">IF(C6=8,E6*Inputs!$B$5,0)</f>
        <v>0</v>
      </c>
      <c r="I6" s="30" t="n">
        <f aca="false">(E6+F6)*UnitEcon!$B$31*D6</f>
        <v>0.225601813665048</v>
      </c>
      <c r="J6" s="29" t="n">
        <f aca="false">(E6+F6)*(UnitEcon!$B$32+UnitEcon!$B$33)*D6+IF(C6=8,G6*Inputs!$B$38*Inputs!$B$37,0)</f>
        <v>25.6</v>
      </c>
      <c r="K6" s="29" t="n">
        <f aca="false">H6*Inputs!$B$6</f>
        <v>0</v>
      </c>
      <c r="L6" s="29" t="n">
        <f aca="false">IF(AND(C6&gt;=4,C6&lt;=7),G6*Inputs!$B$43/4,0)</f>
        <v>0</v>
      </c>
      <c r="M6" s="29" t="n">
        <f aca="false">Inputs!$B$48+IF(C6=7,Inputs!$B$49,0)+IF(AND(B6=2027,C6=1),Inputs!$B$50,0)</f>
        <v>250</v>
      </c>
      <c r="N6" s="29" t="n">
        <f aca="false">H6-I6-J6-K6-L6-M6</f>
        <v>-275.825601813665</v>
      </c>
      <c r="O6" s="29" t="n">
        <f aca="false">O5+N6</f>
        <v>-3775.82560181367</v>
      </c>
      <c r="Q6" s="33" t="n">
        <v>2029</v>
      </c>
      <c r="R6" s="37" t="n">
        <f aca="false">INDEX(Adoption!$B$6:$D$9,3,Inputs!$B$54)</f>
        <v>49</v>
      </c>
    </row>
    <row r="7" customFormat="false" ht="15" hidden="false" customHeight="false" outlineLevel="0" collapsed="false">
      <c r="A7" s="34" t="n">
        <v>46478</v>
      </c>
      <c r="B7" s="35" t="n">
        <f aca="false">YEAR(A7)</f>
        <v>2027</v>
      </c>
      <c r="C7" s="35" t="n">
        <f aca="false">MONTH(A7)</f>
        <v>4</v>
      </c>
      <c r="D7" s="36" t="n">
        <f aca="false">INDEX(Inputs!$B$57:$B$68,C7)</f>
        <v>0.05</v>
      </c>
      <c r="E7" s="24" t="n">
        <f aca="false">INDEX($R$4:$R$7,MATCH(B7,$Q$4:$Q$7,0))</f>
        <v>0</v>
      </c>
      <c r="F7" s="24" t="n">
        <f aca="false">IF(B7=2027,Inputs!$B$53,0)</f>
        <v>8</v>
      </c>
      <c r="G7" s="23" t="n">
        <f aca="false">MAX(0,E7-IF(B7=2027,0,INDEX($R$4:$R$7,MATCH(B7-1,$Q$4:$Q$7,0)))*(1-Inputs!$B$44))</f>
        <v>0</v>
      </c>
      <c r="H7" s="29" t="n">
        <f aca="false">IF(C7=8,E7*Inputs!$B$5,0)</f>
        <v>0</v>
      </c>
      <c r="I7" s="30" t="n">
        <f aca="false">(E7+F7)*UnitEcon!$B$31*D7</f>
        <v>0.564004534162621</v>
      </c>
      <c r="J7" s="29" t="n">
        <f aca="false">(E7+F7)*(UnitEcon!$B$32+UnitEcon!$B$33)*D7+IF(C7=8,G7*Inputs!$B$38*Inputs!$B$37,0)</f>
        <v>64</v>
      </c>
      <c r="K7" s="29" t="n">
        <f aca="false">H7*Inputs!$B$6</f>
        <v>0</v>
      </c>
      <c r="L7" s="29" t="n">
        <f aca="false">IF(AND(C7&gt;=4,C7&lt;=7),G7*Inputs!$B$43/4,0)</f>
        <v>0</v>
      </c>
      <c r="M7" s="29" t="n">
        <f aca="false">Inputs!$B$48+IF(C7=7,Inputs!$B$49,0)+IF(AND(B7=2027,C7=1),Inputs!$B$50,0)</f>
        <v>250</v>
      </c>
      <c r="N7" s="29" t="n">
        <f aca="false">H7-I7-J7-K7-L7-M7</f>
        <v>-314.564004534163</v>
      </c>
      <c r="O7" s="29" t="n">
        <f aca="false">O6+N7</f>
        <v>-4090.38960634783</v>
      </c>
      <c r="Q7" s="33" t="n">
        <v>2030</v>
      </c>
      <c r="R7" s="37" t="n">
        <f aca="false">INDEX(Adoption!$B$6:$D$9,4,Inputs!$B$54)</f>
        <v>71</v>
      </c>
    </row>
    <row r="8" customFormat="false" ht="15" hidden="false" customHeight="false" outlineLevel="0" collapsed="false">
      <c r="A8" s="34" t="n">
        <v>46508</v>
      </c>
      <c r="B8" s="35" t="n">
        <f aca="false">YEAR(A8)</f>
        <v>2027</v>
      </c>
      <c r="C8" s="35" t="n">
        <f aca="false">MONTH(A8)</f>
        <v>5</v>
      </c>
      <c r="D8" s="36" t="n">
        <f aca="false">INDEX(Inputs!$B$57:$B$68,C8)</f>
        <v>0.03</v>
      </c>
      <c r="E8" s="24" t="n">
        <f aca="false">INDEX($R$4:$R$7,MATCH(B8,$Q$4:$Q$7,0))</f>
        <v>0</v>
      </c>
      <c r="F8" s="24" t="n">
        <f aca="false">IF(B8=2027,Inputs!$B$53,0)</f>
        <v>8</v>
      </c>
      <c r="G8" s="23" t="n">
        <f aca="false">MAX(0,E8-IF(B8=2027,0,INDEX($R$4:$R$7,MATCH(B8-1,$Q$4:$Q$7,0)))*(1-Inputs!$B$44))</f>
        <v>0</v>
      </c>
      <c r="H8" s="29" t="n">
        <f aca="false">IF(C8=8,E8*Inputs!$B$5,0)</f>
        <v>0</v>
      </c>
      <c r="I8" s="30" t="n">
        <f aca="false">(E8+F8)*UnitEcon!$B$31*D8</f>
        <v>0.338402720497573</v>
      </c>
      <c r="J8" s="29" t="n">
        <f aca="false">(E8+F8)*(UnitEcon!$B$32+UnitEcon!$B$33)*D8+IF(C8=8,G8*Inputs!$B$38*Inputs!$B$37,0)</f>
        <v>38.4</v>
      </c>
      <c r="K8" s="29" t="n">
        <f aca="false">H8*Inputs!$B$6</f>
        <v>0</v>
      </c>
      <c r="L8" s="29" t="n">
        <f aca="false">IF(AND(C8&gt;=4,C8&lt;=7),G8*Inputs!$B$43/4,0)</f>
        <v>0</v>
      </c>
      <c r="M8" s="29" t="n">
        <f aca="false">Inputs!$B$48+IF(C8=7,Inputs!$B$49,0)+IF(AND(B8=2027,C8=1),Inputs!$B$50,0)</f>
        <v>250</v>
      </c>
      <c r="N8" s="29" t="n">
        <f aca="false">H8-I8-J8-K8-L8-M8</f>
        <v>-288.738402720498</v>
      </c>
      <c r="O8" s="29" t="n">
        <f aca="false">O7+N8</f>
        <v>-4379.12800906833</v>
      </c>
    </row>
    <row r="9" customFormat="false" ht="15" hidden="false" customHeight="false" outlineLevel="0" collapsed="false">
      <c r="A9" s="34" t="n">
        <v>46539</v>
      </c>
      <c r="B9" s="35" t="n">
        <f aca="false">YEAR(A9)</f>
        <v>2027</v>
      </c>
      <c r="C9" s="35" t="n">
        <f aca="false">MONTH(A9)</f>
        <v>6</v>
      </c>
      <c r="D9" s="36" t="n">
        <f aca="false">INDEX(Inputs!$B$57:$B$68,C9)</f>
        <v>0.01</v>
      </c>
      <c r="E9" s="24" t="n">
        <f aca="false">INDEX($R$4:$R$7,MATCH(B9,$Q$4:$Q$7,0))</f>
        <v>0</v>
      </c>
      <c r="F9" s="24" t="n">
        <f aca="false">IF(B9=2027,Inputs!$B$53,0)</f>
        <v>8</v>
      </c>
      <c r="G9" s="23" t="n">
        <f aca="false">MAX(0,E9-IF(B9=2027,0,INDEX($R$4:$R$7,MATCH(B9-1,$Q$4:$Q$7,0)))*(1-Inputs!$B$44))</f>
        <v>0</v>
      </c>
      <c r="H9" s="29" t="n">
        <f aca="false">IF(C9=8,E9*Inputs!$B$5,0)</f>
        <v>0</v>
      </c>
      <c r="I9" s="30" t="n">
        <f aca="false">(E9+F9)*UnitEcon!$B$31*D9</f>
        <v>0.112800906832524</v>
      </c>
      <c r="J9" s="29" t="n">
        <f aca="false">(E9+F9)*(UnitEcon!$B$32+UnitEcon!$B$33)*D9+IF(C9=8,G9*Inputs!$B$38*Inputs!$B$37,0)</f>
        <v>12.8</v>
      </c>
      <c r="K9" s="29" t="n">
        <f aca="false">H9*Inputs!$B$6</f>
        <v>0</v>
      </c>
      <c r="L9" s="29" t="n">
        <f aca="false">IF(AND(C9&gt;=4,C9&lt;=7),G9*Inputs!$B$43/4,0)</f>
        <v>0</v>
      </c>
      <c r="M9" s="29" t="n">
        <f aca="false">Inputs!$B$48+IF(C9=7,Inputs!$B$49,0)+IF(AND(B9=2027,C9=1),Inputs!$B$50,0)</f>
        <v>250</v>
      </c>
      <c r="N9" s="29" t="n">
        <f aca="false">H9-I9-J9-K9-L9-M9</f>
        <v>-262.912800906833</v>
      </c>
      <c r="O9" s="29" t="n">
        <f aca="false">O8+N9</f>
        <v>-4642.04080997516</v>
      </c>
    </row>
    <row r="10" customFormat="false" ht="15" hidden="false" customHeight="false" outlineLevel="0" collapsed="false">
      <c r="A10" s="34" t="n">
        <v>46569</v>
      </c>
      <c r="B10" s="35" t="n">
        <f aca="false">YEAR(A10)</f>
        <v>2027</v>
      </c>
      <c r="C10" s="35" t="n">
        <f aca="false">MONTH(A10)</f>
        <v>7</v>
      </c>
      <c r="D10" s="36" t="n">
        <f aca="false">INDEX(Inputs!$B$57:$B$68,C10)</f>
        <v>0.01</v>
      </c>
      <c r="E10" s="24" t="n">
        <f aca="false">INDEX($R$4:$R$7,MATCH(B10,$Q$4:$Q$7,0))</f>
        <v>0</v>
      </c>
      <c r="F10" s="24" t="n">
        <f aca="false">IF(B10=2027,Inputs!$B$53,0)</f>
        <v>8</v>
      </c>
      <c r="G10" s="23" t="n">
        <f aca="false">MAX(0,E10-IF(B10=2027,0,INDEX($R$4:$R$7,MATCH(B10-1,$Q$4:$Q$7,0)))*(1-Inputs!$B$44))</f>
        <v>0</v>
      </c>
      <c r="H10" s="29" t="n">
        <f aca="false">IF(C10=8,E10*Inputs!$B$5,0)</f>
        <v>0</v>
      </c>
      <c r="I10" s="30" t="n">
        <f aca="false">(E10+F10)*UnitEcon!$B$31*D10</f>
        <v>0.112800906832524</v>
      </c>
      <c r="J10" s="29" t="n">
        <f aca="false">(E10+F10)*(UnitEcon!$B$32+UnitEcon!$B$33)*D10+IF(C10=8,G10*Inputs!$B$38*Inputs!$B$37,0)</f>
        <v>12.8</v>
      </c>
      <c r="K10" s="29" t="n">
        <f aca="false">H10*Inputs!$B$6</f>
        <v>0</v>
      </c>
      <c r="L10" s="29" t="n">
        <f aca="false">IF(AND(C10&gt;=4,C10&lt;=7),G10*Inputs!$B$43/4,0)</f>
        <v>0</v>
      </c>
      <c r="M10" s="29" t="n">
        <f aca="false">Inputs!$B$48+IF(C10=7,Inputs!$B$49,0)+IF(AND(B10=2027,C10=1),Inputs!$B$50,0)</f>
        <v>3750</v>
      </c>
      <c r="N10" s="29" t="n">
        <f aca="false">H10-I10-J10-K10-L10-M10</f>
        <v>-3762.91280090683</v>
      </c>
      <c r="O10" s="29" t="n">
        <f aca="false">O9+N10</f>
        <v>-8404.95361088199</v>
      </c>
    </row>
    <row r="11" customFormat="false" ht="15" hidden="false" customHeight="false" outlineLevel="0" collapsed="false">
      <c r="A11" s="34" t="n">
        <v>46600</v>
      </c>
      <c r="B11" s="35" t="n">
        <f aca="false">YEAR(A11)</f>
        <v>2027</v>
      </c>
      <c r="C11" s="35" t="n">
        <f aca="false">MONTH(A11)</f>
        <v>8</v>
      </c>
      <c r="D11" s="36" t="n">
        <f aca="false">INDEX(Inputs!$B$57:$B$68,C11)</f>
        <v>0.1</v>
      </c>
      <c r="E11" s="24" t="n">
        <f aca="false">INDEX($R$4:$R$7,MATCH(B11,$Q$4:$Q$7,0))</f>
        <v>0</v>
      </c>
      <c r="F11" s="24" t="n">
        <f aca="false">IF(B11=2027,Inputs!$B$53,0)</f>
        <v>8</v>
      </c>
      <c r="G11" s="23" t="n">
        <f aca="false">MAX(0,E11-IF(B11=2027,0,INDEX($R$4:$R$7,MATCH(B11-1,$Q$4:$Q$7,0)))*(1-Inputs!$B$44))</f>
        <v>0</v>
      </c>
      <c r="H11" s="29" t="n">
        <f aca="false">IF(C11=8,E11*Inputs!$B$5,0)</f>
        <v>0</v>
      </c>
      <c r="I11" s="30" t="n">
        <f aca="false">(E11+F11)*UnitEcon!$B$31*D11</f>
        <v>1.12800906832524</v>
      </c>
      <c r="J11" s="29" t="n">
        <f aca="false">(E11+F11)*(UnitEcon!$B$32+UnitEcon!$B$33)*D11+IF(C11=8,G11*Inputs!$B$38*Inputs!$B$37,0)</f>
        <v>128</v>
      </c>
      <c r="K11" s="29" t="n">
        <f aca="false">H11*Inputs!$B$6</f>
        <v>0</v>
      </c>
      <c r="L11" s="29" t="n">
        <f aca="false">IF(AND(C11&gt;=4,C11&lt;=7),G11*Inputs!$B$43/4,0)</f>
        <v>0</v>
      </c>
      <c r="M11" s="29" t="n">
        <f aca="false">Inputs!$B$48+IF(C11=7,Inputs!$B$49,0)+IF(AND(B11=2027,C11=1),Inputs!$B$50,0)</f>
        <v>250</v>
      </c>
      <c r="N11" s="29" t="n">
        <f aca="false">H11-I11-J11-K11-L11-M11</f>
        <v>-379.128009068325</v>
      </c>
      <c r="O11" s="29" t="n">
        <f aca="false">O10+N11</f>
        <v>-8784.08161995032</v>
      </c>
    </row>
    <row r="12" customFormat="false" ht="15" hidden="false" customHeight="false" outlineLevel="0" collapsed="false">
      <c r="A12" s="34" t="n">
        <v>46631</v>
      </c>
      <c r="B12" s="35" t="n">
        <f aca="false">YEAR(A12)</f>
        <v>2027</v>
      </c>
      <c r="C12" s="35" t="n">
        <f aca="false">MONTH(A12)</f>
        <v>9</v>
      </c>
      <c r="D12" s="36" t="n">
        <f aca="false">INDEX(Inputs!$B$57:$B$68,C12)</f>
        <v>0.25</v>
      </c>
      <c r="E12" s="24" t="n">
        <f aca="false">INDEX($R$4:$R$7,MATCH(B12,$Q$4:$Q$7,0))</f>
        <v>0</v>
      </c>
      <c r="F12" s="24" t="n">
        <f aca="false">IF(B12=2027,Inputs!$B$53,0)</f>
        <v>8</v>
      </c>
      <c r="G12" s="23" t="n">
        <f aca="false">MAX(0,E12-IF(B12=2027,0,INDEX($R$4:$R$7,MATCH(B12-1,$Q$4:$Q$7,0)))*(1-Inputs!$B$44))</f>
        <v>0</v>
      </c>
      <c r="H12" s="29" t="n">
        <f aca="false">IF(C12=8,E12*Inputs!$B$5,0)</f>
        <v>0</v>
      </c>
      <c r="I12" s="30" t="n">
        <f aca="false">(E12+F12)*UnitEcon!$B$31*D12</f>
        <v>2.82002267081311</v>
      </c>
      <c r="J12" s="29" t="n">
        <f aca="false">(E12+F12)*(UnitEcon!$B$32+UnitEcon!$B$33)*D12+IF(C12=8,G12*Inputs!$B$38*Inputs!$B$37,0)</f>
        <v>320</v>
      </c>
      <c r="K12" s="29" t="n">
        <f aca="false">H12*Inputs!$B$6</f>
        <v>0</v>
      </c>
      <c r="L12" s="29" t="n">
        <f aca="false">IF(AND(C12&gt;=4,C12&lt;=7),G12*Inputs!$B$43/4,0)</f>
        <v>0</v>
      </c>
      <c r="M12" s="29" t="n">
        <f aca="false">Inputs!$B$48+IF(C12=7,Inputs!$B$49,0)+IF(AND(B12=2027,C12=1),Inputs!$B$50,0)</f>
        <v>250</v>
      </c>
      <c r="N12" s="29" t="n">
        <f aca="false">H12-I12-J12-K12-L12-M12</f>
        <v>-572.820022670813</v>
      </c>
      <c r="O12" s="29" t="n">
        <f aca="false">O11+N12</f>
        <v>-9356.90164262113</v>
      </c>
    </row>
    <row r="13" customFormat="false" ht="15" hidden="false" customHeight="false" outlineLevel="0" collapsed="false">
      <c r="A13" s="34" t="n">
        <v>46661</v>
      </c>
      <c r="B13" s="35" t="n">
        <f aca="false">YEAR(A13)</f>
        <v>2027</v>
      </c>
      <c r="C13" s="35" t="n">
        <f aca="false">MONTH(A13)</f>
        <v>10</v>
      </c>
      <c r="D13" s="36" t="n">
        <f aca="false">INDEX(Inputs!$B$57:$B$68,C13)</f>
        <v>0.27</v>
      </c>
      <c r="E13" s="24" t="n">
        <f aca="false">INDEX($R$4:$R$7,MATCH(B13,$Q$4:$Q$7,0))</f>
        <v>0</v>
      </c>
      <c r="F13" s="24" t="n">
        <f aca="false">IF(B13=2027,Inputs!$B$53,0)</f>
        <v>8</v>
      </c>
      <c r="G13" s="23" t="n">
        <f aca="false">MAX(0,E13-IF(B13=2027,0,INDEX($R$4:$R$7,MATCH(B13-1,$Q$4:$Q$7,0)))*(1-Inputs!$B$44))</f>
        <v>0</v>
      </c>
      <c r="H13" s="29" t="n">
        <f aca="false">IF(C13=8,E13*Inputs!$B$5,0)</f>
        <v>0</v>
      </c>
      <c r="I13" s="30" t="n">
        <f aca="false">(E13+F13)*UnitEcon!$B$31*D13</f>
        <v>3.04562448447815</v>
      </c>
      <c r="J13" s="29" t="n">
        <f aca="false">(E13+F13)*(UnitEcon!$B$32+UnitEcon!$B$33)*D13+IF(C13=8,G13*Inputs!$B$38*Inputs!$B$37,0)</f>
        <v>345.6</v>
      </c>
      <c r="K13" s="29" t="n">
        <f aca="false">H13*Inputs!$B$6</f>
        <v>0</v>
      </c>
      <c r="L13" s="29" t="n">
        <f aca="false">IF(AND(C13&gt;=4,C13&lt;=7),G13*Inputs!$B$43/4,0)</f>
        <v>0</v>
      </c>
      <c r="M13" s="29" t="n">
        <f aca="false">Inputs!$B$48+IF(C13=7,Inputs!$B$49,0)+IF(AND(B13=2027,C13=1),Inputs!$B$50,0)</f>
        <v>250</v>
      </c>
      <c r="N13" s="29" t="n">
        <f aca="false">H13-I13-J13-K13-L13-M13</f>
        <v>-598.645624484478</v>
      </c>
      <c r="O13" s="29" t="n">
        <f aca="false">O12+N13</f>
        <v>-9955.54726710561</v>
      </c>
    </row>
    <row r="14" customFormat="false" ht="15" hidden="false" customHeight="false" outlineLevel="0" collapsed="false">
      <c r="A14" s="34" t="n">
        <v>46692</v>
      </c>
      <c r="B14" s="35" t="n">
        <f aca="false">YEAR(A14)</f>
        <v>2027</v>
      </c>
      <c r="C14" s="35" t="n">
        <f aca="false">MONTH(A14)</f>
        <v>11</v>
      </c>
      <c r="D14" s="36" t="n">
        <f aca="false">INDEX(Inputs!$B$57:$B$68,C14)</f>
        <v>0.2</v>
      </c>
      <c r="E14" s="24" t="n">
        <f aca="false">INDEX($R$4:$R$7,MATCH(B14,$Q$4:$Q$7,0))</f>
        <v>0</v>
      </c>
      <c r="F14" s="24" t="n">
        <f aca="false">IF(B14=2027,Inputs!$B$53,0)</f>
        <v>8</v>
      </c>
      <c r="G14" s="23" t="n">
        <f aca="false">MAX(0,E14-IF(B14=2027,0,INDEX($R$4:$R$7,MATCH(B14-1,$Q$4:$Q$7,0)))*(1-Inputs!$B$44))</f>
        <v>0</v>
      </c>
      <c r="H14" s="29" t="n">
        <f aca="false">IF(C14=8,E14*Inputs!$B$5,0)</f>
        <v>0</v>
      </c>
      <c r="I14" s="30" t="n">
        <f aca="false">(E14+F14)*UnitEcon!$B$31*D14</f>
        <v>2.25601813665048</v>
      </c>
      <c r="J14" s="29" t="n">
        <f aca="false">(E14+F14)*(UnitEcon!$B$32+UnitEcon!$B$33)*D14+IF(C14=8,G14*Inputs!$B$38*Inputs!$B$37,0)</f>
        <v>256</v>
      </c>
      <c r="K14" s="29" t="n">
        <f aca="false">H14*Inputs!$B$6</f>
        <v>0</v>
      </c>
      <c r="L14" s="29" t="n">
        <f aca="false">IF(AND(C14&gt;=4,C14&lt;=7),G14*Inputs!$B$43/4,0)</f>
        <v>0</v>
      </c>
      <c r="M14" s="29" t="n">
        <f aca="false">Inputs!$B$48+IF(C14=7,Inputs!$B$49,0)+IF(AND(B14=2027,C14=1),Inputs!$B$50,0)</f>
        <v>250</v>
      </c>
      <c r="N14" s="29" t="n">
        <f aca="false">H14-I14-J14-K14-L14-M14</f>
        <v>-508.256018136651</v>
      </c>
      <c r="O14" s="29" t="n">
        <f aca="false">O13+N14</f>
        <v>-10463.8032852423</v>
      </c>
    </row>
    <row r="15" customFormat="false" ht="15" hidden="false" customHeight="false" outlineLevel="0" collapsed="false">
      <c r="A15" s="34" t="n">
        <v>46722</v>
      </c>
      <c r="B15" s="35" t="n">
        <f aca="false">YEAR(A15)</f>
        <v>2027</v>
      </c>
      <c r="C15" s="35" t="n">
        <f aca="false">MONTH(A15)</f>
        <v>12</v>
      </c>
      <c r="D15" s="36" t="n">
        <f aca="false">INDEX(Inputs!$B$57:$B$68,C15)</f>
        <v>0.06</v>
      </c>
      <c r="E15" s="24" t="n">
        <f aca="false">INDEX($R$4:$R$7,MATCH(B15,$Q$4:$Q$7,0))</f>
        <v>0</v>
      </c>
      <c r="F15" s="24" t="n">
        <f aca="false">IF(B15=2027,Inputs!$B$53,0)</f>
        <v>8</v>
      </c>
      <c r="G15" s="23" t="n">
        <f aca="false">MAX(0,E15-IF(B15=2027,0,INDEX($R$4:$R$7,MATCH(B15-1,$Q$4:$Q$7,0)))*(1-Inputs!$B$44))</f>
        <v>0</v>
      </c>
      <c r="H15" s="29" t="n">
        <f aca="false">IF(C15=8,E15*Inputs!$B$5,0)</f>
        <v>0</v>
      </c>
      <c r="I15" s="30" t="n">
        <f aca="false">(E15+F15)*UnitEcon!$B$31*D15</f>
        <v>0.676805440995145</v>
      </c>
      <c r="J15" s="29" t="n">
        <f aca="false">(E15+F15)*(UnitEcon!$B$32+UnitEcon!$B$33)*D15+IF(C15=8,G15*Inputs!$B$38*Inputs!$B$37,0)</f>
        <v>76.8</v>
      </c>
      <c r="K15" s="29" t="n">
        <f aca="false">H15*Inputs!$B$6</f>
        <v>0</v>
      </c>
      <c r="L15" s="29" t="n">
        <f aca="false">IF(AND(C15&gt;=4,C15&lt;=7),G15*Inputs!$B$43/4,0)</f>
        <v>0</v>
      </c>
      <c r="M15" s="29" t="n">
        <f aca="false">Inputs!$B$48+IF(C15=7,Inputs!$B$49,0)+IF(AND(B15=2027,C15=1),Inputs!$B$50,0)</f>
        <v>250</v>
      </c>
      <c r="N15" s="29" t="n">
        <f aca="false">H15-I15-J15-K15-L15-M15</f>
        <v>-327.476805440995</v>
      </c>
      <c r="O15" s="29" t="n">
        <f aca="false">O14+N15</f>
        <v>-10791.2800906832</v>
      </c>
    </row>
    <row r="16" customFormat="false" ht="15" hidden="false" customHeight="false" outlineLevel="0" collapsed="false">
      <c r="A16" s="34" t="n">
        <v>46753</v>
      </c>
      <c r="B16" s="35" t="n">
        <f aca="false">YEAR(A16)</f>
        <v>2028</v>
      </c>
      <c r="C16" s="35" t="n">
        <f aca="false">MONTH(A16)</f>
        <v>1</v>
      </c>
      <c r="D16" s="36" t="n">
        <f aca="false">INDEX(Inputs!$B$57:$B$68,C16)</f>
        <v>0</v>
      </c>
      <c r="E16" s="24" t="n">
        <f aca="false">INDEX($R$4:$R$7,MATCH(B16,$Q$4:$Q$7,0))</f>
        <v>29</v>
      </c>
      <c r="F16" s="24" t="n">
        <f aca="false">IF(B16=2027,Inputs!$B$53,0)</f>
        <v>0</v>
      </c>
      <c r="G16" s="23" t="n">
        <f aca="false">MAX(0,E16-IF(B16=2027,0,INDEX($R$4:$R$7,MATCH(B16-1,$Q$4:$Q$7,0)))*(1-Inputs!$B$44))</f>
        <v>29</v>
      </c>
      <c r="H16" s="29" t="n">
        <f aca="false">IF(C16=8,E16*Inputs!$B$5,0)</f>
        <v>0</v>
      </c>
      <c r="I16" s="30" t="n">
        <f aca="false">(E16+F16)*UnitEcon!$B$31*D16</f>
        <v>0</v>
      </c>
      <c r="J16" s="29" t="n">
        <f aca="false">(E16+F16)*(UnitEcon!$B$32+UnitEcon!$B$33)*D16+IF(C16=8,G16*Inputs!$B$38*Inputs!$B$37,0)</f>
        <v>0</v>
      </c>
      <c r="K16" s="29" t="n">
        <f aca="false">H16*Inputs!$B$6</f>
        <v>0</v>
      </c>
      <c r="L16" s="29" t="n">
        <f aca="false">IF(AND(C16&gt;=4,C16&lt;=7),G16*Inputs!$B$43/4,0)</f>
        <v>0</v>
      </c>
      <c r="M16" s="29" t="n">
        <f aca="false">Inputs!$B$48+IF(C16=7,Inputs!$B$49,0)+IF(AND(B16=2027,C16=1),Inputs!$B$50,0)</f>
        <v>250</v>
      </c>
      <c r="N16" s="29" t="n">
        <f aca="false">H16-I16-J16-K16-L16-M16</f>
        <v>-250</v>
      </c>
      <c r="O16" s="29" t="n">
        <f aca="false">O15+N16</f>
        <v>-11041.2800906832</v>
      </c>
    </row>
    <row r="17" customFormat="false" ht="15" hidden="false" customHeight="false" outlineLevel="0" collapsed="false">
      <c r="A17" s="34" t="n">
        <v>46784</v>
      </c>
      <c r="B17" s="35" t="n">
        <f aca="false">YEAR(A17)</f>
        <v>2028</v>
      </c>
      <c r="C17" s="35" t="n">
        <f aca="false">MONTH(A17)</f>
        <v>2</v>
      </c>
      <c r="D17" s="36" t="n">
        <f aca="false">INDEX(Inputs!$B$57:$B$68,C17)</f>
        <v>0</v>
      </c>
      <c r="E17" s="24" t="n">
        <f aca="false">INDEX($R$4:$R$7,MATCH(B17,$Q$4:$Q$7,0))</f>
        <v>29</v>
      </c>
      <c r="F17" s="24" t="n">
        <f aca="false">IF(B17=2027,Inputs!$B$53,0)</f>
        <v>0</v>
      </c>
      <c r="G17" s="23" t="n">
        <f aca="false">MAX(0,E17-IF(B17=2027,0,INDEX($R$4:$R$7,MATCH(B17-1,$Q$4:$Q$7,0)))*(1-Inputs!$B$44))</f>
        <v>29</v>
      </c>
      <c r="H17" s="29" t="n">
        <f aca="false">IF(C17=8,E17*Inputs!$B$5,0)</f>
        <v>0</v>
      </c>
      <c r="I17" s="30" t="n">
        <f aca="false">(E17+F17)*UnitEcon!$B$31*D17</f>
        <v>0</v>
      </c>
      <c r="J17" s="29" t="n">
        <f aca="false">(E17+F17)*(UnitEcon!$B$32+UnitEcon!$B$33)*D17+IF(C17=8,G17*Inputs!$B$38*Inputs!$B$37,0)</f>
        <v>0</v>
      </c>
      <c r="K17" s="29" t="n">
        <f aca="false">H17*Inputs!$B$6</f>
        <v>0</v>
      </c>
      <c r="L17" s="29" t="n">
        <f aca="false">IF(AND(C17&gt;=4,C17&lt;=7),G17*Inputs!$B$43/4,0)</f>
        <v>0</v>
      </c>
      <c r="M17" s="29" t="n">
        <f aca="false">Inputs!$B$48+IF(C17=7,Inputs!$B$49,0)+IF(AND(B17=2027,C17=1),Inputs!$B$50,0)</f>
        <v>250</v>
      </c>
      <c r="N17" s="29" t="n">
        <f aca="false">H17-I17-J17-K17-L17-M17</f>
        <v>-250</v>
      </c>
      <c r="O17" s="29" t="n">
        <f aca="false">O16+N17</f>
        <v>-11291.2800906832</v>
      </c>
    </row>
    <row r="18" customFormat="false" ht="15" hidden="false" customHeight="false" outlineLevel="0" collapsed="false">
      <c r="A18" s="34" t="n">
        <v>46813</v>
      </c>
      <c r="B18" s="35" t="n">
        <f aca="false">YEAR(A18)</f>
        <v>2028</v>
      </c>
      <c r="C18" s="35" t="n">
        <f aca="false">MONTH(A18)</f>
        <v>3</v>
      </c>
      <c r="D18" s="36" t="n">
        <f aca="false">INDEX(Inputs!$B$57:$B$68,C18)</f>
        <v>0.02</v>
      </c>
      <c r="E18" s="24" t="n">
        <f aca="false">INDEX($R$4:$R$7,MATCH(B18,$Q$4:$Q$7,0))</f>
        <v>29</v>
      </c>
      <c r="F18" s="24" t="n">
        <f aca="false">IF(B18=2027,Inputs!$B$53,0)</f>
        <v>0</v>
      </c>
      <c r="G18" s="23" t="n">
        <f aca="false">MAX(0,E18-IF(B18=2027,0,INDEX($R$4:$R$7,MATCH(B18-1,$Q$4:$Q$7,0)))*(1-Inputs!$B$44))</f>
        <v>29</v>
      </c>
      <c r="H18" s="29" t="n">
        <f aca="false">IF(C18=8,E18*Inputs!$B$5,0)</f>
        <v>0</v>
      </c>
      <c r="I18" s="30" t="n">
        <f aca="false">(E18+F18)*UnitEcon!$B$31*D18</f>
        <v>0.817806574535801</v>
      </c>
      <c r="J18" s="29" t="n">
        <f aca="false">(E18+F18)*(UnitEcon!$B$32+UnitEcon!$B$33)*D18+IF(C18=8,G18*Inputs!$B$38*Inputs!$B$37,0)</f>
        <v>92.8</v>
      </c>
      <c r="K18" s="29" t="n">
        <f aca="false">H18*Inputs!$B$6</f>
        <v>0</v>
      </c>
      <c r="L18" s="29" t="n">
        <f aca="false">IF(AND(C18&gt;=4,C18&lt;=7),G18*Inputs!$B$43/4,0)</f>
        <v>0</v>
      </c>
      <c r="M18" s="29" t="n">
        <f aca="false">Inputs!$B$48+IF(C18=7,Inputs!$B$49,0)+IF(AND(B18=2027,C18=1),Inputs!$B$50,0)</f>
        <v>250</v>
      </c>
      <c r="N18" s="29" t="n">
        <f aca="false">H18-I18-J18-K18-L18-M18</f>
        <v>-343.617806574536</v>
      </c>
      <c r="O18" s="29" t="n">
        <f aca="false">O17+N18</f>
        <v>-11634.8978972578</v>
      </c>
    </row>
    <row r="19" customFormat="false" ht="15" hidden="false" customHeight="false" outlineLevel="0" collapsed="false">
      <c r="A19" s="34" t="n">
        <v>46844</v>
      </c>
      <c r="B19" s="35" t="n">
        <f aca="false">YEAR(A19)</f>
        <v>2028</v>
      </c>
      <c r="C19" s="35" t="n">
        <f aca="false">MONTH(A19)</f>
        <v>4</v>
      </c>
      <c r="D19" s="36" t="n">
        <f aca="false">INDEX(Inputs!$B$57:$B$68,C19)</f>
        <v>0.05</v>
      </c>
      <c r="E19" s="24" t="n">
        <f aca="false">INDEX($R$4:$R$7,MATCH(B19,$Q$4:$Q$7,0))</f>
        <v>29</v>
      </c>
      <c r="F19" s="24" t="n">
        <f aca="false">IF(B19=2027,Inputs!$B$53,0)</f>
        <v>0</v>
      </c>
      <c r="G19" s="23" t="n">
        <f aca="false">MAX(0,E19-IF(B19=2027,0,INDEX($R$4:$R$7,MATCH(B19-1,$Q$4:$Q$7,0)))*(1-Inputs!$B$44))</f>
        <v>29</v>
      </c>
      <c r="H19" s="29" t="n">
        <f aca="false">IF(C19=8,E19*Inputs!$B$5,0)</f>
        <v>0</v>
      </c>
      <c r="I19" s="30" t="n">
        <f aca="false">(E19+F19)*UnitEcon!$B$31*D19</f>
        <v>2.0445164363395</v>
      </c>
      <c r="J19" s="29" t="n">
        <f aca="false">(E19+F19)*(UnitEcon!$B$32+UnitEcon!$B$33)*D19+IF(C19=8,G19*Inputs!$B$38*Inputs!$B$37,0)</f>
        <v>232</v>
      </c>
      <c r="K19" s="29" t="n">
        <f aca="false">H19*Inputs!$B$6</f>
        <v>0</v>
      </c>
      <c r="L19" s="29" t="n">
        <f aca="false">IF(AND(C19&gt;=4,C19&lt;=7),G19*Inputs!$B$43/4,0)</f>
        <v>2900</v>
      </c>
      <c r="M19" s="29" t="n">
        <f aca="false">Inputs!$B$48+IF(C19=7,Inputs!$B$49,0)+IF(AND(B19=2027,C19=1),Inputs!$B$50,0)</f>
        <v>250</v>
      </c>
      <c r="N19" s="29" t="n">
        <f aca="false">H19-I19-J19-K19-L19-M19</f>
        <v>-3384.04451643634</v>
      </c>
      <c r="O19" s="29" t="n">
        <f aca="false">O18+N19</f>
        <v>-15018.9424136941</v>
      </c>
    </row>
    <row r="20" customFormat="false" ht="15" hidden="false" customHeight="false" outlineLevel="0" collapsed="false">
      <c r="A20" s="34" t="n">
        <v>46874</v>
      </c>
      <c r="B20" s="35" t="n">
        <f aca="false">YEAR(A20)</f>
        <v>2028</v>
      </c>
      <c r="C20" s="35" t="n">
        <f aca="false">MONTH(A20)</f>
        <v>5</v>
      </c>
      <c r="D20" s="36" t="n">
        <f aca="false">INDEX(Inputs!$B$57:$B$68,C20)</f>
        <v>0.03</v>
      </c>
      <c r="E20" s="24" t="n">
        <f aca="false">INDEX($R$4:$R$7,MATCH(B20,$Q$4:$Q$7,0))</f>
        <v>29</v>
      </c>
      <c r="F20" s="24" t="n">
        <f aca="false">IF(B20=2027,Inputs!$B$53,0)</f>
        <v>0</v>
      </c>
      <c r="G20" s="23" t="n">
        <f aca="false">MAX(0,E20-IF(B20=2027,0,INDEX($R$4:$R$7,MATCH(B20-1,$Q$4:$Q$7,0)))*(1-Inputs!$B$44))</f>
        <v>29</v>
      </c>
      <c r="H20" s="29" t="n">
        <f aca="false">IF(C20=8,E20*Inputs!$B$5,0)</f>
        <v>0</v>
      </c>
      <c r="I20" s="30" t="n">
        <f aca="false">(E20+F20)*UnitEcon!$B$31*D20</f>
        <v>1.2267098618037</v>
      </c>
      <c r="J20" s="29" t="n">
        <f aca="false">(E20+F20)*(UnitEcon!$B$32+UnitEcon!$B$33)*D20+IF(C20=8,G20*Inputs!$B$38*Inputs!$B$37,0)</f>
        <v>139.2</v>
      </c>
      <c r="K20" s="29" t="n">
        <f aca="false">H20*Inputs!$B$6</f>
        <v>0</v>
      </c>
      <c r="L20" s="29" t="n">
        <f aca="false">IF(AND(C20&gt;=4,C20&lt;=7),G20*Inputs!$B$43/4,0)</f>
        <v>2900</v>
      </c>
      <c r="M20" s="29" t="n">
        <f aca="false">Inputs!$B$48+IF(C20=7,Inputs!$B$49,0)+IF(AND(B20=2027,C20=1),Inputs!$B$50,0)</f>
        <v>250</v>
      </c>
      <c r="N20" s="29" t="n">
        <f aca="false">H20-I20-J20-K20-L20-M20</f>
        <v>-3290.4267098618</v>
      </c>
      <c r="O20" s="29" t="n">
        <f aca="false">O19+N20</f>
        <v>-18309.3691235559</v>
      </c>
    </row>
    <row r="21" customFormat="false" ht="15" hidden="false" customHeight="false" outlineLevel="0" collapsed="false">
      <c r="A21" s="34" t="n">
        <v>46905</v>
      </c>
      <c r="B21" s="35" t="n">
        <f aca="false">YEAR(A21)</f>
        <v>2028</v>
      </c>
      <c r="C21" s="35" t="n">
        <f aca="false">MONTH(A21)</f>
        <v>6</v>
      </c>
      <c r="D21" s="36" t="n">
        <f aca="false">INDEX(Inputs!$B$57:$B$68,C21)</f>
        <v>0.01</v>
      </c>
      <c r="E21" s="24" t="n">
        <f aca="false">INDEX($R$4:$R$7,MATCH(B21,$Q$4:$Q$7,0))</f>
        <v>29</v>
      </c>
      <c r="F21" s="24" t="n">
        <f aca="false">IF(B21=2027,Inputs!$B$53,0)</f>
        <v>0</v>
      </c>
      <c r="G21" s="23" t="n">
        <f aca="false">MAX(0,E21-IF(B21=2027,0,INDEX($R$4:$R$7,MATCH(B21-1,$Q$4:$Q$7,0)))*(1-Inputs!$B$44))</f>
        <v>29</v>
      </c>
      <c r="H21" s="29" t="n">
        <f aca="false">IF(C21=8,E21*Inputs!$B$5,0)</f>
        <v>0</v>
      </c>
      <c r="I21" s="30" t="n">
        <f aca="false">(E21+F21)*UnitEcon!$B$31*D21</f>
        <v>0.4089032872679</v>
      </c>
      <c r="J21" s="29" t="n">
        <f aca="false">(E21+F21)*(UnitEcon!$B$32+UnitEcon!$B$33)*D21+IF(C21=8,G21*Inputs!$B$38*Inputs!$B$37,0)</f>
        <v>46.4</v>
      </c>
      <c r="K21" s="29" t="n">
        <f aca="false">H21*Inputs!$B$6</f>
        <v>0</v>
      </c>
      <c r="L21" s="29" t="n">
        <f aca="false">IF(AND(C21&gt;=4,C21&lt;=7),G21*Inputs!$B$43/4,0)</f>
        <v>2900</v>
      </c>
      <c r="M21" s="29" t="n">
        <f aca="false">Inputs!$B$48+IF(C21=7,Inputs!$B$49,0)+IF(AND(B21=2027,C21=1),Inputs!$B$50,0)</f>
        <v>250</v>
      </c>
      <c r="N21" s="29" t="n">
        <f aca="false">H21-I21-J21-K21-L21-M21</f>
        <v>-3196.80890328727</v>
      </c>
      <c r="O21" s="29" t="n">
        <f aca="false">O20+N21</f>
        <v>-21506.1780268432</v>
      </c>
    </row>
    <row r="22" customFormat="false" ht="15" hidden="false" customHeight="false" outlineLevel="0" collapsed="false">
      <c r="A22" s="34" t="n">
        <v>46935</v>
      </c>
      <c r="B22" s="35" t="n">
        <f aca="false">YEAR(A22)</f>
        <v>2028</v>
      </c>
      <c r="C22" s="35" t="n">
        <f aca="false">MONTH(A22)</f>
        <v>7</v>
      </c>
      <c r="D22" s="36" t="n">
        <f aca="false">INDEX(Inputs!$B$57:$B$68,C22)</f>
        <v>0.01</v>
      </c>
      <c r="E22" s="24" t="n">
        <f aca="false">INDEX($R$4:$R$7,MATCH(B22,$Q$4:$Q$7,0))</f>
        <v>29</v>
      </c>
      <c r="F22" s="24" t="n">
        <f aca="false">IF(B22=2027,Inputs!$B$53,0)</f>
        <v>0</v>
      </c>
      <c r="G22" s="23" t="n">
        <f aca="false">MAX(0,E22-IF(B22=2027,0,INDEX($R$4:$R$7,MATCH(B22-1,$Q$4:$Q$7,0)))*(1-Inputs!$B$44))</f>
        <v>29</v>
      </c>
      <c r="H22" s="29" t="n">
        <f aca="false">IF(C22=8,E22*Inputs!$B$5,0)</f>
        <v>0</v>
      </c>
      <c r="I22" s="30" t="n">
        <f aca="false">(E22+F22)*UnitEcon!$B$31*D22</f>
        <v>0.4089032872679</v>
      </c>
      <c r="J22" s="29" t="n">
        <f aca="false">(E22+F22)*(UnitEcon!$B$32+UnitEcon!$B$33)*D22+IF(C22=8,G22*Inputs!$B$38*Inputs!$B$37,0)</f>
        <v>46.4</v>
      </c>
      <c r="K22" s="29" t="n">
        <f aca="false">H22*Inputs!$B$6</f>
        <v>0</v>
      </c>
      <c r="L22" s="29" t="n">
        <f aca="false">IF(AND(C22&gt;=4,C22&lt;=7),G22*Inputs!$B$43/4,0)</f>
        <v>2900</v>
      </c>
      <c r="M22" s="29" t="n">
        <f aca="false">Inputs!$B$48+IF(C22=7,Inputs!$B$49,0)+IF(AND(B22=2027,C22=1),Inputs!$B$50,0)</f>
        <v>3750</v>
      </c>
      <c r="N22" s="29" t="n">
        <f aca="false">H22-I22-J22-K22-L22-M22</f>
        <v>-6696.80890328727</v>
      </c>
      <c r="O22" s="29" t="n">
        <f aca="false">O21+N22</f>
        <v>-28202.9869301305</v>
      </c>
    </row>
    <row r="23" customFormat="false" ht="15" hidden="false" customHeight="false" outlineLevel="0" collapsed="false">
      <c r="A23" s="34" t="n">
        <v>46966</v>
      </c>
      <c r="B23" s="35" t="n">
        <f aca="false">YEAR(A23)</f>
        <v>2028</v>
      </c>
      <c r="C23" s="35" t="n">
        <f aca="false">MONTH(A23)</f>
        <v>8</v>
      </c>
      <c r="D23" s="36" t="n">
        <f aca="false">INDEX(Inputs!$B$57:$B$68,C23)</f>
        <v>0.1</v>
      </c>
      <c r="E23" s="24" t="n">
        <f aca="false">INDEX($R$4:$R$7,MATCH(B23,$Q$4:$Q$7,0))</f>
        <v>29</v>
      </c>
      <c r="F23" s="24" t="n">
        <f aca="false">IF(B23=2027,Inputs!$B$53,0)</f>
        <v>0</v>
      </c>
      <c r="G23" s="23" t="n">
        <f aca="false">MAX(0,E23-IF(B23=2027,0,INDEX($R$4:$R$7,MATCH(B23-1,$Q$4:$Q$7,0)))*(1-Inputs!$B$44))</f>
        <v>29</v>
      </c>
      <c r="H23" s="29" t="n">
        <f aca="false">IF(C23=8,E23*Inputs!$B$5,0)</f>
        <v>26100</v>
      </c>
      <c r="I23" s="30" t="n">
        <f aca="false">(E23+F23)*UnitEcon!$B$31*D23</f>
        <v>4.089032872679</v>
      </c>
      <c r="J23" s="29" t="n">
        <f aca="false">(E23+F23)*(UnitEcon!$B$32+UnitEcon!$B$33)*D23+IF(C23=8,G23*Inputs!$B$38*Inputs!$B$37,0)</f>
        <v>3944</v>
      </c>
      <c r="K23" s="29" t="n">
        <f aca="false">H23*Inputs!$B$6</f>
        <v>652.5</v>
      </c>
      <c r="L23" s="29" t="n">
        <f aca="false">IF(AND(C23&gt;=4,C23&lt;=7),G23*Inputs!$B$43/4,0)</f>
        <v>0</v>
      </c>
      <c r="M23" s="29" t="n">
        <f aca="false">Inputs!$B$48+IF(C23=7,Inputs!$B$49,0)+IF(AND(B23=2027,C23=1),Inputs!$B$50,0)</f>
        <v>250</v>
      </c>
      <c r="N23" s="29" t="n">
        <f aca="false">H23-I23-J23-K23-L23-M23</f>
        <v>21249.4109671273</v>
      </c>
      <c r="O23" s="29" t="n">
        <f aca="false">O22+N23</f>
        <v>-6953.57596300314</v>
      </c>
    </row>
    <row r="24" customFormat="false" ht="15" hidden="false" customHeight="false" outlineLevel="0" collapsed="false">
      <c r="A24" s="34" t="n">
        <v>46997</v>
      </c>
      <c r="B24" s="35" t="n">
        <f aca="false">YEAR(A24)</f>
        <v>2028</v>
      </c>
      <c r="C24" s="35" t="n">
        <f aca="false">MONTH(A24)</f>
        <v>9</v>
      </c>
      <c r="D24" s="36" t="n">
        <f aca="false">INDEX(Inputs!$B$57:$B$68,C24)</f>
        <v>0.25</v>
      </c>
      <c r="E24" s="24" t="n">
        <f aca="false">INDEX($R$4:$R$7,MATCH(B24,$Q$4:$Q$7,0))</f>
        <v>29</v>
      </c>
      <c r="F24" s="24" t="n">
        <f aca="false">IF(B24=2027,Inputs!$B$53,0)</f>
        <v>0</v>
      </c>
      <c r="G24" s="23" t="n">
        <f aca="false">MAX(0,E24-IF(B24=2027,0,INDEX($R$4:$R$7,MATCH(B24-1,$Q$4:$Q$7,0)))*(1-Inputs!$B$44))</f>
        <v>29</v>
      </c>
      <c r="H24" s="29" t="n">
        <f aca="false">IF(C24=8,E24*Inputs!$B$5,0)</f>
        <v>0</v>
      </c>
      <c r="I24" s="30" t="n">
        <f aca="false">(E24+F24)*UnitEcon!$B$31*D24</f>
        <v>10.2225821816975</v>
      </c>
      <c r="J24" s="29" t="n">
        <f aca="false">(E24+F24)*(UnitEcon!$B$32+UnitEcon!$B$33)*D24+IF(C24=8,G24*Inputs!$B$38*Inputs!$B$37,0)</f>
        <v>1160</v>
      </c>
      <c r="K24" s="29" t="n">
        <f aca="false">H24*Inputs!$B$6</f>
        <v>0</v>
      </c>
      <c r="L24" s="29" t="n">
        <f aca="false">IF(AND(C24&gt;=4,C24&lt;=7),G24*Inputs!$B$43/4,0)</f>
        <v>0</v>
      </c>
      <c r="M24" s="29" t="n">
        <f aca="false">Inputs!$B$48+IF(C24=7,Inputs!$B$49,0)+IF(AND(B24=2027,C24=1),Inputs!$B$50,0)</f>
        <v>250</v>
      </c>
      <c r="N24" s="29" t="n">
        <f aca="false">H24-I24-J24-K24-L24-M24</f>
        <v>-1420.2225821817</v>
      </c>
      <c r="O24" s="29" t="n">
        <f aca="false">O23+N24</f>
        <v>-8373.79854518484</v>
      </c>
    </row>
    <row r="25" customFormat="false" ht="15" hidden="false" customHeight="false" outlineLevel="0" collapsed="false">
      <c r="A25" s="34" t="n">
        <v>47027</v>
      </c>
      <c r="B25" s="35" t="n">
        <f aca="false">YEAR(A25)</f>
        <v>2028</v>
      </c>
      <c r="C25" s="35" t="n">
        <f aca="false">MONTH(A25)</f>
        <v>10</v>
      </c>
      <c r="D25" s="36" t="n">
        <f aca="false">INDEX(Inputs!$B$57:$B$68,C25)</f>
        <v>0.27</v>
      </c>
      <c r="E25" s="24" t="n">
        <f aca="false">INDEX($R$4:$R$7,MATCH(B25,$Q$4:$Q$7,0))</f>
        <v>29</v>
      </c>
      <c r="F25" s="24" t="n">
        <f aca="false">IF(B25=2027,Inputs!$B$53,0)</f>
        <v>0</v>
      </c>
      <c r="G25" s="23" t="n">
        <f aca="false">MAX(0,E25-IF(B25=2027,0,INDEX($R$4:$R$7,MATCH(B25-1,$Q$4:$Q$7,0)))*(1-Inputs!$B$44))</f>
        <v>29</v>
      </c>
      <c r="H25" s="29" t="n">
        <f aca="false">IF(C25=8,E25*Inputs!$B$5,0)</f>
        <v>0</v>
      </c>
      <c r="I25" s="30" t="n">
        <f aca="false">(E25+F25)*UnitEcon!$B$31*D25</f>
        <v>11.0403887562333</v>
      </c>
      <c r="J25" s="29" t="n">
        <f aca="false">(E25+F25)*(UnitEcon!$B$32+UnitEcon!$B$33)*D25+IF(C25=8,G25*Inputs!$B$38*Inputs!$B$37,0)</f>
        <v>1252.8</v>
      </c>
      <c r="K25" s="29" t="n">
        <f aca="false">H25*Inputs!$B$6</f>
        <v>0</v>
      </c>
      <c r="L25" s="29" t="n">
        <f aca="false">IF(AND(C25&gt;=4,C25&lt;=7),G25*Inputs!$B$43/4,0)</f>
        <v>0</v>
      </c>
      <c r="M25" s="29" t="n">
        <f aca="false">Inputs!$B$48+IF(C25=7,Inputs!$B$49,0)+IF(AND(B25=2027,C25=1),Inputs!$B$50,0)</f>
        <v>250</v>
      </c>
      <c r="N25" s="29" t="n">
        <f aca="false">H25-I25-J25-K25-L25-M25</f>
        <v>-1513.84038875623</v>
      </c>
      <c r="O25" s="29" t="n">
        <f aca="false">O24+N25</f>
        <v>-9887.63893394107</v>
      </c>
    </row>
    <row r="26" customFormat="false" ht="15" hidden="false" customHeight="false" outlineLevel="0" collapsed="false">
      <c r="A26" s="34" t="n">
        <v>47058</v>
      </c>
      <c r="B26" s="35" t="n">
        <f aca="false">YEAR(A26)</f>
        <v>2028</v>
      </c>
      <c r="C26" s="35" t="n">
        <f aca="false">MONTH(A26)</f>
        <v>11</v>
      </c>
      <c r="D26" s="36" t="n">
        <f aca="false">INDEX(Inputs!$B$57:$B$68,C26)</f>
        <v>0.2</v>
      </c>
      <c r="E26" s="24" t="n">
        <f aca="false">INDEX($R$4:$R$7,MATCH(B26,$Q$4:$Q$7,0))</f>
        <v>29</v>
      </c>
      <c r="F26" s="24" t="n">
        <f aca="false">IF(B26=2027,Inputs!$B$53,0)</f>
        <v>0</v>
      </c>
      <c r="G26" s="23" t="n">
        <f aca="false">MAX(0,E26-IF(B26=2027,0,INDEX($R$4:$R$7,MATCH(B26-1,$Q$4:$Q$7,0)))*(1-Inputs!$B$44))</f>
        <v>29</v>
      </c>
      <c r="H26" s="29" t="n">
        <f aca="false">IF(C26=8,E26*Inputs!$B$5,0)</f>
        <v>0</v>
      </c>
      <c r="I26" s="30" t="n">
        <f aca="false">(E26+F26)*UnitEcon!$B$31*D26</f>
        <v>8.17806574535801</v>
      </c>
      <c r="J26" s="29" t="n">
        <f aca="false">(E26+F26)*(UnitEcon!$B$32+UnitEcon!$B$33)*D26+IF(C26=8,G26*Inputs!$B$38*Inputs!$B$37,0)</f>
        <v>928</v>
      </c>
      <c r="K26" s="29" t="n">
        <f aca="false">H26*Inputs!$B$6</f>
        <v>0</v>
      </c>
      <c r="L26" s="29" t="n">
        <f aca="false">IF(AND(C26&gt;=4,C26&lt;=7),G26*Inputs!$B$43/4,0)</f>
        <v>0</v>
      </c>
      <c r="M26" s="29" t="n">
        <f aca="false">Inputs!$B$48+IF(C26=7,Inputs!$B$49,0)+IF(AND(B26=2027,C26=1),Inputs!$B$50,0)</f>
        <v>250</v>
      </c>
      <c r="N26" s="29" t="n">
        <f aca="false">H26-I26-J26-K26-L26-M26</f>
        <v>-1186.17806574536</v>
      </c>
      <c r="O26" s="29" t="n">
        <f aca="false">O25+N26</f>
        <v>-11073.8169996864</v>
      </c>
    </row>
    <row r="27" customFormat="false" ht="15" hidden="false" customHeight="false" outlineLevel="0" collapsed="false">
      <c r="A27" s="34" t="n">
        <v>47088</v>
      </c>
      <c r="B27" s="35" t="n">
        <f aca="false">YEAR(A27)</f>
        <v>2028</v>
      </c>
      <c r="C27" s="35" t="n">
        <f aca="false">MONTH(A27)</f>
        <v>12</v>
      </c>
      <c r="D27" s="36" t="n">
        <f aca="false">INDEX(Inputs!$B$57:$B$68,C27)</f>
        <v>0.06</v>
      </c>
      <c r="E27" s="24" t="n">
        <f aca="false">INDEX($R$4:$R$7,MATCH(B27,$Q$4:$Q$7,0))</f>
        <v>29</v>
      </c>
      <c r="F27" s="24" t="n">
        <f aca="false">IF(B27=2027,Inputs!$B$53,0)</f>
        <v>0</v>
      </c>
      <c r="G27" s="23" t="n">
        <f aca="false">MAX(0,E27-IF(B27=2027,0,INDEX($R$4:$R$7,MATCH(B27-1,$Q$4:$Q$7,0)))*(1-Inputs!$B$44))</f>
        <v>29</v>
      </c>
      <c r="H27" s="29" t="n">
        <f aca="false">IF(C27=8,E27*Inputs!$B$5,0)</f>
        <v>0</v>
      </c>
      <c r="I27" s="30" t="n">
        <f aca="false">(E27+F27)*UnitEcon!$B$31*D27</f>
        <v>2.4534197236074</v>
      </c>
      <c r="J27" s="29" t="n">
        <f aca="false">(E27+F27)*(UnitEcon!$B$32+UnitEcon!$B$33)*D27+IF(C27=8,G27*Inputs!$B$38*Inputs!$B$37,0)</f>
        <v>278.4</v>
      </c>
      <c r="K27" s="29" t="n">
        <f aca="false">H27*Inputs!$B$6</f>
        <v>0</v>
      </c>
      <c r="L27" s="29" t="n">
        <f aca="false">IF(AND(C27&gt;=4,C27&lt;=7),G27*Inputs!$B$43/4,0)</f>
        <v>0</v>
      </c>
      <c r="M27" s="29" t="n">
        <f aca="false">Inputs!$B$48+IF(C27=7,Inputs!$B$49,0)+IF(AND(B27=2027,C27=1),Inputs!$B$50,0)</f>
        <v>250</v>
      </c>
      <c r="N27" s="29" t="n">
        <f aca="false">H27-I27-J27-K27-L27-M27</f>
        <v>-530.853419723607</v>
      </c>
      <c r="O27" s="29" t="n">
        <f aca="false">O26+N27</f>
        <v>-11604.67041941</v>
      </c>
    </row>
    <row r="28" customFormat="false" ht="15" hidden="false" customHeight="false" outlineLevel="0" collapsed="false">
      <c r="A28" s="34" t="n">
        <v>47119</v>
      </c>
      <c r="B28" s="35" t="n">
        <f aca="false">YEAR(A28)</f>
        <v>2029</v>
      </c>
      <c r="C28" s="35" t="n">
        <f aca="false">MONTH(A28)</f>
        <v>1</v>
      </c>
      <c r="D28" s="36" t="n">
        <f aca="false">INDEX(Inputs!$B$57:$B$68,C28)</f>
        <v>0</v>
      </c>
      <c r="E28" s="24" t="n">
        <f aca="false">INDEX($R$4:$R$7,MATCH(B28,$Q$4:$Q$7,0))</f>
        <v>49</v>
      </c>
      <c r="F28" s="24" t="n">
        <f aca="false">IF(B28=2027,Inputs!$B$53,0)</f>
        <v>0</v>
      </c>
      <c r="G28" s="23" t="n">
        <f aca="false">MAX(0,E28-IF(B28=2027,0,INDEX($R$4:$R$7,MATCH(B28-1,$Q$4:$Q$7,0)))*(1-Inputs!$B$44))</f>
        <v>25.8</v>
      </c>
      <c r="H28" s="29" t="n">
        <f aca="false">IF(C28=8,E28*Inputs!$B$5,0)</f>
        <v>0</v>
      </c>
      <c r="I28" s="30" t="n">
        <f aca="false">(E28+F28)*UnitEcon!$B$31*D28</f>
        <v>0</v>
      </c>
      <c r="J28" s="29" t="n">
        <f aca="false">(E28+F28)*(UnitEcon!$B$32+UnitEcon!$B$33)*D28+IF(C28=8,G28*Inputs!$B$38*Inputs!$B$37,0)</f>
        <v>0</v>
      </c>
      <c r="K28" s="29" t="n">
        <f aca="false">H28*Inputs!$B$6</f>
        <v>0</v>
      </c>
      <c r="L28" s="29" t="n">
        <f aca="false">IF(AND(C28&gt;=4,C28&lt;=7),G28*Inputs!$B$43/4,0)</f>
        <v>0</v>
      </c>
      <c r="M28" s="29" t="n">
        <f aca="false">Inputs!$B$48+IF(C28=7,Inputs!$B$49,0)+IF(AND(B28=2027,C28=1),Inputs!$B$50,0)</f>
        <v>250</v>
      </c>
      <c r="N28" s="29" t="n">
        <f aca="false">H28-I28-J28-K28-L28-M28</f>
        <v>-250</v>
      </c>
      <c r="O28" s="29" t="n">
        <f aca="false">O27+N28</f>
        <v>-11854.67041941</v>
      </c>
    </row>
    <row r="29" customFormat="false" ht="15" hidden="false" customHeight="false" outlineLevel="0" collapsed="false">
      <c r="A29" s="34" t="n">
        <v>47150</v>
      </c>
      <c r="B29" s="35" t="n">
        <f aca="false">YEAR(A29)</f>
        <v>2029</v>
      </c>
      <c r="C29" s="35" t="n">
        <f aca="false">MONTH(A29)</f>
        <v>2</v>
      </c>
      <c r="D29" s="36" t="n">
        <f aca="false">INDEX(Inputs!$B$57:$B$68,C29)</f>
        <v>0</v>
      </c>
      <c r="E29" s="24" t="n">
        <f aca="false">INDEX($R$4:$R$7,MATCH(B29,$Q$4:$Q$7,0))</f>
        <v>49</v>
      </c>
      <c r="F29" s="24" t="n">
        <f aca="false">IF(B29=2027,Inputs!$B$53,0)</f>
        <v>0</v>
      </c>
      <c r="G29" s="23" t="n">
        <f aca="false">MAX(0,E29-IF(B29=2027,0,INDEX($R$4:$R$7,MATCH(B29-1,$Q$4:$Q$7,0)))*(1-Inputs!$B$44))</f>
        <v>25.8</v>
      </c>
      <c r="H29" s="29" t="n">
        <f aca="false">IF(C29=8,E29*Inputs!$B$5,0)</f>
        <v>0</v>
      </c>
      <c r="I29" s="30" t="n">
        <f aca="false">(E29+F29)*UnitEcon!$B$31*D29</f>
        <v>0</v>
      </c>
      <c r="J29" s="29" t="n">
        <f aca="false">(E29+F29)*(UnitEcon!$B$32+UnitEcon!$B$33)*D29+IF(C29=8,G29*Inputs!$B$38*Inputs!$B$37,0)</f>
        <v>0</v>
      </c>
      <c r="K29" s="29" t="n">
        <f aca="false">H29*Inputs!$B$6</f>
        <v>0</v>
      </c>
      <c r="L29" s="29" t="n">
        <f aca="false">IF(AND(C29&gt;=4,C29&lt;=7),G29*Inputs!$B$43/4,0)</f>
        <v>0</v>
      </c>
      <c r="M29" s="29" t="n">
        <f aca="false">Inputs!$B$48+IF(C29=7,Inputs!$B$49,0)+IF(AND(B29=2027,C29=1),Inputs!$B$50,0)</f>
        <v>250</v>
      </c>
      <c r="N29" s="29" t="n">
        <f aca="false">H29-I29-J29-K29-L29-M29</f>
        <v>-250</v>
      </c>
      <c r="O29" s="29" t="n">
        <f aca="false">O28+N29</f>
        <v>-12104.67041941</v>
      </c>
    </row>
    <row r="30" customFormat="false" ht="15" hidden="false" customHeight="false" outlineLevel="0" collapsed="false">
      <c r="A30" s="34" t="n">
        <v>47178</v>
      </c>
      <c r="B30" s="35" t="n">
        <f aca="false">YEAR(A30)</f>
        <v>2029</v>
      </c>
      <c r="C30" s="35" t="n">
        <f aca="false">MONTH(A30)</f>
        <v>3</v>
      </c>
      <c r="D30" s="36" t="n">
        <f aca="false">INDEX(Inputs!$B$57:$B$68,C30)</f>
        <v>0.02</v>
      </c>
      <c r="E30" s="24" t="n">
        <f aca="false">INDEX($R$4:$R$7,MATCH(B30,$Q$4:$Q$7,0))</f>
        <v>49</v>
      </c>
      <c r="F30" s="24" t="n">
        <f aca="false">IF(B30=2027,Inputs!$B$53,0)</f>
        <v>0</v>
      </c>
      <c r="G30" s="23" t="n">
        <f aca="false">MAX(0,E30-IF(B30=2027,0,INDEX($R$4:$R$7,MATCH(B30-1,$Q$4:$Q$7,0)))*(1-Inputs!$B$44))</f>
        <v>25.8</v>
      </c>
      <c r="H30" s="29" t="n">
        <f aca="false">IF(C30=8,E30*Inputs!$B$5,0)</f>
        <v>0</v>
      </c>
      <c r="I30" s="30" t="n">
        <f aca="false">(E30+F30)*UnitEcon!$B$31*D30</f>
        <v>1.38181110869842</v>
      </c>
      <c r="J30" s="29" t="n">
        <f aca="false">(E30+F30)*(UnitEcon!$B$32+UnitEcon!$B$33)*D30+IF(C30=8,G30*Inputs!$B$38*Inputs!$B$37,0)</f>
        <v>156.8</v>
      </c>
      <c r="K30" s="29" t="n">
        <f aca="false">H30*Inputs!$B$6</f>
        <v>0</v>
      </c>
      <c r="L30" s="29" t="n">
        <f aca="false">IF(AND(C30&gt;=4,C30&lt;=7),G30*Inputs!$B$43/4,0)</f>
        <v>0</v>
      </c>
      <c r="M30" s="29" t="n">
        <f aca="false">Inputs!$B$48+IF(C30=7,Inputs!$B$49,0)+IF(AND(B30=2027,C30=1),Inputs!$B$50,0)</f>
        <v>250</v>
      </c>
      <c r="N30" s="29" t="n">
        <f aca="false">H30-I30-J30-K30-L30-M30</f>
        <v>-408.181811108698</v>
      </c>
      <c r="O30" s="29" t="n">
        <f aca="false">O29+N30</f>
        <v>-12512.8522305187</v>
      </c>
    </row>
    <row r="31" customFormat="false" ht="15" hidden="false" customHeight="false" outlineLevel="0" collapsed="false">
      <c r="A31" s="34" t="n">
        <v>47209</v>
      </c>
      <c r="B31" s="35" t="n">
        <f aca="false">YEAR(A31)</f>
        <v>2029</v>
      </c>
      <c r="C31" s="35" t="n">
        <f aca="false">MONTH(A31)</f>
        <v>4</v>
      </c>
      <c r="D31" s="36" t="n">
        <f aca="false">INDEX(Inputs!$B$57:$B$68,C31)</f>
        <v>0.05</v>
      </c>
      <c r="E31" s="24" t="n">
        <f aca="false">INDEX($R$4:$R$7,MATCH(B31,$Q$4:$Q$7,0))</f>
        <v>49</v>
      </c>
      <c r="F31" s="24" t="n">
        <f aca="false">IF(B31=2027,Inputs!$B$53,0)</f>
        <v>0</v>
      </c>
      <c r="G31" s="23" t="n">
        <f aca="false">MAX(0,E31-IF(B31=2027,0,INDEX($R$4:$R$7,MATCH(B31-1,$Q$4:$Q$7,0)))*(1-Inputs!$B$44))</f>
        <v>25.8</v>
      </c>
      <c r="H31" s="29" t="n">
        <f aca="false">IF(C31=8,E31*Inputs!$B$5,0)</f>
        <v>0</v>
      </c>
      <c r="I31" s="30" t="n">
        <f aca="false">(E31+F31)*UnitEcon!$B$31*D31</f>
        <v>3.45452777174605</v>
      </c>
      <c r="J31" s="29" t="n">
        <f aca="false">(E31+F31)*(UnitEcon!$B$32+UnitEcon!$B$33)*D31+IF(C31=8,G31*Inputs!$B$38*Inputs!$B$37,0)</f>
        <v>392</v>
      </c>
      <c r="K31" s="29" t="n">
        <f aca="false">H31*Inputs!$B$6</f>
        <v>0</v>
      </c>
      <c r="L31" s="29" t="n">
        <f aca="false">IF(AND(C31&gt;=4,C31&lt;=7),G31*Inputs!$B$43/4,0)</f>
        <v>2580</v>
      </c>
      <c r="M31" s="29" t="n">
        <f aca="false">Inputs!$B$48+IF(C31=7,Inputs!$B$49,0)+IF(AND(B31=2027,C31=1),Inputs!$B$50,0)</f>
        <v>250</v>
      </c>
      <c r="N31" s="29" t="n">
        <f aca="false">H31-I31-J31-K31-L31-M31</f>
        <v>-3225.45452777175</v>
      </c>
      <c r="O31" s="29" t="n">
        <f aca="false">O30+N31</f>
        <v>-15738.3067582905</v>
      </c>
    </row>
    <row r="32" customFormat="false" ht="15" hidden="false" customHeight="false" outlineLevel="0" collapsed="false">
      <c r="A32" s="34" t="n">
        <v>47239</v>
      </c>
      <c r="B32" s="35" t="n">
        <f aca="false">YEAR(A32)</f>
        <v>2029</v>
      </c>
      <c r="C32" s="35" t="n">
        <f aca="false">MONTH(A32)</f>
        <v>5</v>
      </c>
      <c r="D32" s="36" t="n">
        <f aca="false">INDEX(Inputs!$B$57:$B$68,C32)</f>
        <v>0.03</v>
      </c>
      <c r="E32" s="24" t="n">
        <f aca="false">INDEX($R$4:$R$7,MATCH(B32,$Q$4:$Q$7,0))</f>
        <v>49</v>
      </c>
      <c r="F32" s="24" t="n">
        <f aca="false">IF(B32=2027,Inputs!$B$53,0)</f>
        <v>0</v>
      </c>
      <c r="G32" s="23" t="n">
        <f aca="false">MAX(0,E32-IF(B32=2027,0,INDEX($R$4:$R$7,MATCH(B32-1,$Q$4:$Q$7,0)))*(1-Inputs!$B$44))</f>
        <v>25.8</v>
      </c>
      <c r="H32" s="29" t="n">
        <f aca="false">IF(C32=8,E32*Inputs!$B$5,0)</f>
        <v>0</v>
      </c>
      <c r="I32" s="30" t="n">
        <f aca="false">(E32+F32)*UnitEcon!$B$31*D32</f>
        <v>2.07271666304763</v>
      </c>
      <c r="J32" s="29" t="n">
        <f aca="false">(E32+F32)*(UnitEcon!$B$32+UnitEcon!$B$33)*D32+IF(C32=8,G32*Inputs!$B$38*Inputs!$B$37,0)</f>
        <v>235.2</v>
      </c>
      <c r="K32" s="29" t="n">
        <f aca="false">H32*Inputs!$B$6</f>
        <v>0</v>
      </c>
      <c r="L32" s="29" t="n">
        <f aca="false">IF(AND(C32&gt;=4,C32&lt;=7),G32*Inputs!$B$43/4,0)</f>
        <v>2580</v>
      </c>
      <c r="M32" s="29" t="n">
        <f aca="false">Inputs!$B$48+IF(C32=7,Inputs!$B$49,0)+IF(AND(B32=2027,C32=1),Inputs!$B$50,0)</f>
        <v>250</v>
      </c>
      <c r="N32" s="29" t="n">
        <f aca="false">H32-I32-J32-K32-L32-M32</f>
        <v>-3067.27271666305</v>
      </c>
      <c r="O32" s="29" t="n">
        <f aca="false">O31+N32</f>
        <v>-18805.5794749535</v>
      </c>
    </row>
    <row r="33" customFormat="false" ht="15" hidden="false" customHeight="false" outlineLevel="0" collapsed="false">
      <c r="A33" s="34" t="n">
        <v>47270</v>
      </c>
      <c r="B33" s="35" t="n">
        <f aca="false">YEAR(A33)</f>
        <v>2029</v>
      </c>
      <c r="C33" s="35" t="n">
        <f aca="false">MONTH(A33)</f>
        <v>6</v>
      </c>
      <c r="D33" s="36" t="n">
        <f aca="false">INDEX(Inputs!$B$57:$B$68,C33)</f>
        <v>0.01</v>
      </c>
      <c r="E33" s="24" t="n">
        <f aca="false">INDEX($R$4:$R$7,MATCH(B33,$Q$4:$Q$7,0))</f>
        <v>49</v>
      </c>
      <c r="F33" s="24" t="n">
        <f aca="false">IF(B33=2027,Inputs!$B$53,0)</f>
        <v>0</v>
      </c>
      <c r="G33" s="23" t="n">
        <f aca="false">MAX(0,E33-IF(B33=2027,0,INDEX($R$4:$R$7,MATCH(B33-1,$Q$4:$Q$7,0)))*(1-Inputs!$B$44))</f>
        <v>25.8</v>
      </c>
      <c r="H33" s="29" t="n">
        <f aca="false">IF(C33=8,E33*Inputs!$B$5,0)</f>
        <v>0</v>
      </c>
      <c r="I33" s="30" t="n">
        <f aca="false">(E33+F33)*UnitEcon!$B$31*D33</f>
        <v>0.690905554349211</v>
      </c>
      <c r="J33" s="29" t="n">
        <f aca="false">(E33+F33)*(UnitEcon!$B$32+UnitEcon!$B$33)*D33+IF(C33=8,G33*Inputs!$B$38*Inputs!$B$37,0)</f>
        <v>78.4</v>
      </c>
      <c r="K33" s="29" t="n">
        <f aca="false">H33*Inputs!$B$6</f>
        <v>0</v>
      </c>
      <c r="L33" s="29" t="n">
        <f aca="false">IF(AND(C33&gt;=4,C33&lt;=7),G33*Inputs!$B$43/4,0)</f>
        <v>2580</v>
      </c>
      <c r="M33" s="29" t="n">
        <f aca="false">Inputs!$B$48+IF(C33=7,Inputs!$B$49,0)+IF(AND(B33=2027,C33=1),Inputs!$B$50,0)</f>
        <v>250</v>
      </c>
      <c r="N33" s="29" t="n">
        <f aca="false">H33-I33-J33-K33-L33-M33</f>
        <v>-2909.09090555435</v>
      </c>
      <c r="O33" s="29" t="n">
        <f aca="false">O32+N33</f>
        <v>-21714.6703805079</v>
      </c>
    </row>
    <row r="34" customFormat="false" ht="15" hidden="false" customHeight="false" outlineLevel="0" collapsed="false">
      <c r="A34" s="34" t="n">
        <v>47300</v>
      </c>
      <c r="B34" s="35" t="n">
        <f aca="false">YEAR(A34)</f>
        <v>2029</v>
      </c>
      <c r="C34" s="35" t="n">
        <f aca="false">MONTH(A34)</f>
        <v>7</v>
      </c>
      <c r="D34" s="36" t="n">
        <f aca="false">INDEX(Inputs!$B$57:$B$68,C34)</f>
        <v>0.01</v>
      </c>
      <c r="E34" s="24" t="n">
        <f aca="false">INDEX($R$4:$R$7,MATCH(B34,$Q$4:$Q$7,0))</f>
        <v>49</v>
      </c>
      <c r="F34" s="24" t="n">
        <f aca="false">IF(B34=2027,Inputs!$B$53,0)</f>
        <v>0</v>
      </c>
      <c r="G34" s="23" t="n">
        <f aca="false">MAX(0,E34-IF(B34=2027,0,INDEX($R$4:$R$7,MATCH(B34-1,$Q$4:$Q$7,0)))*(1-Inputs!$B$44))</f>
        <v>25.8</v>
      </c>
      <c r="H34" s="29" t="n">
        <f aca="false">IF(C34=8,E34*Inputs!$B$5,0)</f>
        <v>0</v>
      </c>
      <c r="I34" s="30" t="n">
        <f aca="false">(E34+F34)*UnitEcon!$B$31*D34</f>
        <v>0.690905554349211</v>
      </c>
      <c r="J34" s="29" t="n">
        <f aca="false">(E34+F34)*(UnitEcon!$B$32+UnitEcon!$B$33)*D34+IF(C34=8,G34*Inputs!$B$38*Inputs!$B$37,0)</f>
        <v>78.4</v>
      </c>
      <c r="K34" s="29" t="n">
        <f aca="false">H34*Inputs!$B$6</f>
        <v>0</v>
      </c>
      <c r="L34" s="29" t="n">
        <f aca="false">IF(AND(C34&gt;=4,C34&lt;=7),G34*Inputs!$B$43/4,0)</f>
        <v>2580</v>
      </c>
      <c r="M34" s="29" t="n">
        <f aca="false">Inputs!$B$48+IF(C34=7,Inputs!$B$49,0)+IF(AND(B34=2027,C34=1),Inputs!$B$50,0)</f>
        <v>3750</v>
      </c>
      <c r="N34" s="29" t="n">
        <f aca="false">H34-I34-J34-K34-L34-M34</f>
        <v>-6409.09090555435</v>
      </c>
      <c r="O34" s="29" t="n">
        <f aca="false">O33+N34</f>
        <v>-28123.7612860622</v>
      </c>
    </row>
    <row r="35" customFormat="false" ht="15" hidden="false" customHeight="false" outlineLevel="0" collapsed="false">
      <c r="A35" s="34" t="n">
        <v>47331</v>
      </c>
      <c r="B35" s="35" t="n">
        <f aca="false">YEAR(A35)</f>
        <v>2029</v>
      </c>
      <c r="C35" s="35" t="n">
        <f aca="false">MONTH(A35)</f>
        <v>8</v>
      </c>
      <c r="D35" s="36" t="n">
        <f aca="false">INDEX(Inputs!$B$57:$B$68,C35)</f>
        <v>0.1</v>
      </c>
      <c r="E35" s="24" t="n">
        <f aca="false">INDEX($R$4:$R$7,MATCH(B35,$Q$4:$Q$7,0))</f>
        <v>49</v>
      </c>
      <c r="F35" s="24" t="n">
        <f aca="false">IF(B35=2027,Inputs!$B$53,0)</f>
        <v>0</v>
      </c>
      <c r="G35" s="23" t="n">
        <f aca="false">MAX(0,E35-IF(B35=2027,0,INDEX($R$4:$R$7,MATCH(B35-1,$Q$4:$Q$7,0)))*(1-Inputs!$B$44))</f>
        <v>25.8</v>
      </c>
      <c r="H35" s="29" t="n">
        <f aca="false">IF(C35=8,E35*Inputs!$B$5,0)</f>
        <v>44100</v>
      </c>
      <c r="I35" s="30" t="n">
        <f aca="false">(E35+F35)*UnitEcon!$B$31*D35</f>
        <v>6.90905554349211</v>
      </c>
      <c r="J35" s="29" t="n">
        <f aca="false">(E35+F35)*(UnitEcon!$B$32+UnitEcon!$B$33)*D35+IF(C35=8,G35*Inputs!$B$38*Inputs!$B$37,0)</f>
        <v>3880</v>
      </c>
      <c r="K35" s="29" t="n">
        <f aca="false">H35*Inputs!$B$6</f>
        <v>1102.5</v>
      </c>
      <c r="L35" s="29" t="n">
        <f aca="false">IF(AND(C35&gt;=4,C35&lt;=7),G35*Inputs!$B$43/4,0)</f>
        <v>0</v>
      </c>
      <c r="M35" s="29" t="n">
        <f aca="false">Inputs!$B$48+IF(C35=7,Inputs!$B$49,0)+IF(AND(B35=2027,C35=1),Inputs!$B$50,0)</f>
        <v>250</v>
      </c>
      <c r="N35" s="29" t="n">
        <f aca="false">H35-I35-J35-K35-L35-M35</f>
        <v>38860.5909444565</v>
      </c>
      <c r="O35" s="29" t="n">
        <f aca="false">O34+N35</f>
        <v>10736.8296583943</v>
      </c>
    </row>
    <row r="36" customFormat="false" ht="15" hidden="false" customHeight="false" outlineLevel="0" collapsed="false">
      <c r="A36" s="34" t="n">
        <v>47362</v>
      </c>
      <c r="B36" s="35" t="n">
        <f aca="false">YEAR(A36)</f>
        <v>2029</v>
      </c>
      <c r="C36" s="35" t="n">
        <f aca="false">MONTH(A36)</f>
        <v>9</v>
      </c>
      <c r="D36" s="36" t="n">
        <f aca="false">INDEX(Inputs!$B$57:$B$68,C36)</f>
        <v>0.25</v>
      </c>
      <c r="E36" s="24" t="n">
        <f aca="false">INDEX($R$4:$R$7,MATCH(B36,$Q$4:$Q$7,0))</f>
        <v>49</v>
      </c>
      <c r="F36" s="24" t="n">
        <f aca="false">IF(B36=2027,Inputs!$B$53,0)</f>
        <v>0</v>
      </c>
      <c r="G36" s="23" t="n">
        <f aca="false">MAX(0,E36-IF(B36=2027,0,INDEX($R$4:$R$7,MATCH(B36-1,$Q$4:$Q$7,0)))*(1-Inputs!$B$44))</f>
        <v>25.8</v>
      </c>
      <c r="H36" s="29" t="n">
        <f aca="false">IF(C36=8,E36*Inputs!$B$5,0)</f>
        <v>0</v>
      </c>
      <c r="I36" s="30" t="n">
        <f aca="false">(E36+F36)*UnitEcon!$B$31*D36</f>
        <v>17.2726388587303</v>
      </c>
      <c r="J36" s="29" t="n">
        <f aca="false">(E36+F36)*(UnitEcon!$B$32+UnitEcon!$B$33)*D36+IF(C36=8,G36*Inputs!$B$38*Inputs!$B$37,0)</f>
        <v>1960</v>
      </c>
      <c r="K36" s="29" t="n">
        <f aca="false">H36*Inputs!$B$6</f>
        <v>0</v>
      </c>
      <c r="L36" s="29" t="n">
        <f aca="false">IF(AND(C36&gt;=4,C36&lt;=7),G36*Inputs!$B$43/4,0)</f>
        <v>0</v>
      </c>
      <c r="M36" s="29" t="n">
        <f aca="false">Inputs!$B$48+IF(C36=7,Inputs!$B$49,0)+IF(AND(B36=2027,C36=1),Inputs!$B$50,0)</f>
        <v>250</v>
      </c>
      <c r="N36" s="29" t="n">
        <f aca="false">H36-I36-J36-K36-L36-M36</f>
        <v>-2227.27263885873</v>
      </c>
      <c r="O36" s="29" t="n">
        <f aca="false">O35+N36</f>
        <v>8509.55701953555</v>
      </c>
    </row>
    <row r="37" customFormat="false" ht="15" hidden="false" customHeight="false" outlineLevel="0" collapsed="false">
      <c r="A37" s="34" t="n">
        <v>47392</v>
      </c>
      <c r="B37" s="35" t="n">
        <f aca="false">YEAR(A37)</f>
        <v>2029</v>
      </c>
      <c r="C37" s="35" t="n">
        <f aca="false">MONTH(A37)</f>
        <v>10</v>
      </c>
      <c r="D37" s="36" t="n">
        <f aca="false">INDEX(Inputs!$B$57:$B$68,C37)</f>
        <v>0.27</v>
      </c>
      <c r="E37" s="24" t="n">
        <f aca="false">INDEX($R$4:$R$7,MATCH(B37,$Q$4:$Q$7,0))</f>
        <v>49</v>
      </c>
      <c r="F37" s="24" t="n">
        <f aca="false">IF(B37=2027,Inputs!$B$53,0)</f>
        <v>0</v>
      </c>
      <c r="G37" s="23" t="n">
        <f aca="false">MAX(0,E37-IF(B37=2027,0,INDEX($R$4:$R$7,MATCH(B37-1,$Q$4:$Q$7,0)))*(1-Inputs!$B$44))</f>
        <v>25.8</v>
      </c>
      <c r="H37" s="29" t="n">
        <f aca="false">IF(C37=8,E37*Inputs!$B$5,0)</f>
        <v>0</v>
      </c>
      <c r="I37" s="30" t="n">
        <f aca="false">(E37+F37)*UnitEcon!$B$31*D37</f>
        <v>18.6544499674287</v>
      </c>
      <c r="J37" s="29" t="n">
        <f aca="false">(E37+F37)*(UnitEcon!$B$32+UnitEcon!$B$33)*D37+IF(C37=8,G37*Inputs!$B$38*Inputs!$B$37,0)</f>
        <v>2116.8</v>
      </c>
      <c r="K37" s="29" t="n">
        <f aca="false">H37*Inputs!$B$6</f>
        <v>0</v>
      </c>
      <c r="L37" s="29" t="n">
        <f aca="false">IF(AND(C37&gt;=4,C37&lt;=7),G37*Inputs!$B$43/4,0)</f>
        <v>0</v>
      </c>
      <c r="M37" s="29" t="n">
        <f aca="false">Inputs!$B$48+IF(C37=7,Inputs!$B$49,0)+IF(AND(B37=2027,C37=1),Inputs!$B$50,0)</f>
        <v>250</v>
      </c>
      <c r="N37" s="29" t="n">
        <f aca="false">H37-I37-J37-K37-L37-M37</f>
        <v>-2385.45444996743</v>
      </c>
      <c r="O37" s="29" t="n">
        <f aca="false">O36+N37</f>
        <v>6124.10256956812</v>
      </c>
    </row>
    <row r="38" customFormat="false" ht="15" hidden="false" customHeight="false" outlineLevel="0" collapsed="false">
      <c r="A38" s="34" t="n">
        <v>47423</v>
      </c>
      <c r="B38" s="35" t="n">
        <f aca="false">YEAR(A38)</f>
        <v>2029</v>
      </c>
      <c r="C38" s="35" t="n">
        <f aca="false">MONTH(A38)</f>
        <v>11</v>
      </c>
      <c r="D38" s="36" t="n">
        <f aca="false">INDEX(Inputs!$B$57:$B$68,C38)</f>
        <v>0.2</v>
      </c>
      <c r="E38" s="24" t="n">
        <f aca="false">INDEX($R$4:$R$7,MATCH(B38,$Q$4:$Q$7,0))</f>
        <v>49</v>
      </c>
      <c r="F38" s="24" t="n">
        <f aca="false">IF(B38=2027,Inputs!$B$53,0)</f>
        <v>0</v>
      </c>
      <c r="G38" s="23" t="n">
        <f aca="false">MAX(0,E38-IF(B38=2027,0,INDEX($R$4:$R$7,MATCH(B38-1,$Q$4:$Q$7,0)))*(1-Inputs!$B$44))</f>
        <v>25.8</v>
      </c>
      <c r="H38" s="29" t="n">
        <f aca="false">IF(C38=8,E38*Inputs!$B$5,0)</f>
        <v>0</v>
      </c>
      <c r="I38" s="30" t="n">
        <f aca="false">(E38+F38)*UnitEcon!$B$31*D38</f>
        <v>13.8181110869842</v>
      </c>
      <c r="J38" s="29" t="n">
        <f aca="false">(E38+F38)*(UnitEcon!$B$32+UnitEcon!$B$33)*D38+IF(C38=8,G38*Inputs!$B$38*Inputs!$B$37,0)</f>
        <v>1568</v>
      </c>
      <c r="K38" s="29" t="n">
        <f aca="false">H38*Inputs!$B$6</f>
        <v>0</v>
      </c>
      <c r="L38" s="29" t="n">
        <f aca="false">IF(AND(C38&gt;=4,C38&lt;=7),G38*Inputs!$B$43/4,0)</f>
        <v>0</v>
      </c>
      <c r="M38" s="29" t="n">
        <f aca="false">Inputs!$B$48+IF(C38=7,Inputs!$B$49,0)+IF(AND(B38=2027,C38=1),Inputs!$B$50,0)</f>
        <v>250</v>
      </c>
      <c r="N38" s="29" t="n">
        <f aca="false">H38-I38-J38-K38-L38-M38</f>
        <v>-1831.81811108698</v>
      </c>
      <c r="O38" s="29" t="n">
        <f aca="false">O37+N38</f>
        <v>4292.28445848114</v>
      </c>
    </row>
    <row r="39" customFormat="false" ht="15" hidden="false" customHeight="false" outlineLevel="0" collapsed="false">
      <c r="A39" s="34" t="n">
        <v>47453</v>
      </c>
      <c r="B39" s="35" t="n">
        <f aca="false">YEAR(A39)</f>
        <v>2029</v>
      </c>
      <c r="C39" s="35" t="n">
        <f aca="false">MONTH(A39)</f>
        <v>12</v>
      </c>
      <c r="D39" s="36" t="n">
        <f aca="false">INDEX(Inputs!$B$57:$B$68,C39)</f>
        <v>0.06</v>
      </c>
      <c r="E39" s="24" t="n">
        <f aca="false">INDEX($R$4:$R$7,MATCH(B39,$Q$4:$Q$7,0))</f>
        <v>49</v>
      </c>
      <c r="F39" s="24" t="n">
        <f aca="false">IF(B39=2027,Inputs!$B$53,0)</f>
        <v>0</v>
      </c>
      <c r="G39" s="23" t="n">
        <f aca="false">MAX(0,E39-IF(B39=2027,0,INDEX($R$4:$R$7,MATCH(B39-1,$Q$4:$Q$7,0)))*(1-Inputs!$B$44))</f>
        <v>25.8</v>
      </c>
      <c r="H39" s="29" t="n">
        <f aca="false">IF(C39=8,E39*Inputs!$B$5,0)</f>
        <v>0</v>
      </c>
      <c r="I39" s="30" t="n">
        <f aca="false">(E39+F39)*UnitEcon!$B$31*D39</f>
        <v>4.14543332609527</v>
      </c>
      <c r="J39" s="29" t="n">
        <f aca="false">(E39+F39)*(UnitEcon!$B$32+UnitEcon!$B$33)*D39+IF(C39=8,G39*Inputs!$B$38*Inputs!$B$37,0)</f>
        <v>470.4</v>
      </c>
      <c r="K39" s="29" t="n">
        <f aca="false">H39*Inputs!$B$6</f>
        <v>0</v>
      </c>
      <c r="L39" s="29" t="n">
        <f aca="false">IF(AND(C39&gt;=4,C39&lt;=7),G39*Inputs!$B$43/4,0)</f>
        <v>0</v>
      </c>
      <c r="M39" s="29" t="n">
        <f aca="false">Inputs!$B$48+IF(C39=7,Inputs!$B$49,0)+IF(AND(B39=2027,C39=1),Inputs!$B$50,0)</f>
        <v>250</v>
      </c>
      <c r="N39" s="29" t="n">
        <f aca="false">H39-I39-J39-K39-L39-M39</f>
        <v>-724.545433326095</v>
      </c>
      <c r="O39" s="29" t="n">
        <f aca="false">O38+N39</f>
        <v>3567.73902515504</v>
      </c>
    </row>
    <row r="40" customFormat="false" ht="15" hidden="false" customHeight="false" outlineLevel="0" collapsed="false">
      <c r="A40" s="34" t="n">
        <v>47484</v>
      </c>
      <c r="B40" s="35" t="n">
        <f aca="false">YEAR(A40)</f>
        <v>2030</v>
      </c>
      <c r="C40" s="35" t="n">
        <f aca="false">MONTH(A40)</f>
        <v>1</v>
      </c>
      <c r="D40" s="36" t="n">
        <f aca="false">INDEX(Inputs!$B$57:$B$68,C40)</f>
        <v>0</v>
      </c>
      <c r="E40" s="24" t="n">
        <f aca="false">INDEX($R$4:$R$7,MATCH(B40,$Q$4:$Q$7,0))</f>
        <v>71</v>
      </c>
      <c r="F40" s="24" t="n">
        <f aca="false">IF(B40=2027,Inputs!$B$53,0)</f>
        <v>0</v>
      </c>
      <c r="G40" s="23" t="n">
        <f aca="false">MAX(0,E40-IF(B40=2027,0,INDEX($R$4:$R$7,MATCH(B40-1,$Q$4:$Q$7,0)))*(1-Inputs!$B$44))</f>
        <v>31.8</v>
      </c>
      <c r="H40" s="29" t="n">
        <f aca="false">IF(C40=8,E40*Inputs!$B$5,0)</f>
        <v>0</v>
      </c>
      <c r="I40" s="30" t="n">
        <f aca="false">(E40+F40)*UnitEcon!$B$31*D40</f>
        <v>0</v>
      </c>
      <c r="J40" s="29" t="n">
        <f aca="false">(E40+F40)*(UnitEcon!$B$32+UnitEcon!$B$33)*D40+IF(C40=8,G40*Inputs!$B$38*Inputs!$B$37,0)</f>
        <v>0</v>
      </c>
      <c r="K40" s="29" t="n">
        <f aca="false">H40*Inputs!$B$6</f>
        <v>0</v>
      </c>
      <c r="L40" s="29" t="n">
        <f aca="false">IF(AND(C40&gt;=4,C40&lt;=7),G40*Inputs!$B$43/4,0)</f>
        <v>0</v>
      </c>
      <c r="M40" s="29" t="n">
        <f aca="false">Inputs!$B$48+IF(C40=7,Inputs!$B$49,0)+IF(AND(B40=2027,C40=1),Inputs!$B$50,0)</f>
        <v>250</v>
      </c>
      <c r="N40" s="29" t="n">
        <f aca="false">H40-I40-J40-K40-L40-M40</f>
        <v>-250</v>
      </c>
      <c r="O40" s="29" t="n">
        <f aca="false">O39+N40</f>
        <v>3317.73902515504</v>
      </c>
    </row>
    <row r="41" customFormat="false" ht="15" hidden="false" customHeight="false" outlineLevel="0" collapsed="false">
      <c r="A41" s="34" t="n">
        <v>47515</v>
      </c>
      <c r="B41" s="35" t="n">
        <f aca="false">YEAR(A41)</f>
        <v>2030</v>
      </c>
      <c r="C41" s="35" t="n">
        <f aca="false">MONTH(A41)</f>
        <v>2</v>
      </c>
      <c r="D41" s="36" t="n">
        <f aca="false">INDEX(Inputs!$B$57:$B$68,C41)</f>
        <v>0</v>
      </c>
      <c r="E41" s="24" t="n">
        <f aca="false">INDEX($R$4:$R$7,MATCH(B41,$Q$4:$Q$7,0))</f>
        <v>71</v>
      </c>
      <c r="F41" s="24" t="n">
        <f aca="false">IF(B41=2027,Inputs!$B$53,0)</f>
        <v>0</v>
      </c>
      <c r="G41" s="23" t="n">
        <f aca="false">MAX(0,E41-IF(B41=2027,0,INDEX($R$4:$R$7,MATCH(B41-1,$Q$4:$Q$7,0)))*(1-Inputs!$B$44))</f>
        <v>31.8</v>
      </c>
      <c r="H41" s="29" t="n">
        <f aca="false">IF(C41=8,E41*Inputs!$B$5,0)</f>
        <v>0</v>
      </c>
      <c r="I41" s="30" t="n">
        <f aca="false">(E41+F41)*UnitEcon!$B$31*D41</f>
        <v>0</v>
      </c>
      <c r="J41" s="29" t="n">
        <f aca="false">(E41+F41)*(UnitEcon!$B$32+UnitEcon!$B$33)*D41+IF(C41=8,G41*Inputs!$B$38*Inputs!$B$37,0)</f>
        <v>0</v>
      </c>
      <c r="K41" s="29" t="n">
        <f aca="false">H41*Inputs!$B$6</f>
        <v>0</v>
      </c>
      <c r="L41" s="29" t="n">
        <f aca="false">IF(AND(C41&gt;=4,C41&lt;=7),G41*Inputs!$B$43/4,0)</f>
        <v>0</v>
      </c>
      <c r="M41" s="29" t="n">
        <f aca="false">Inputs!$B$48+IF(C41=7,Inputs!$B$49,0)+IF(AND(B41=2027,C41=1),Inputs!$B$50,0)</f>
        <v>250</v>
      </c>
      <c r="N41" s="29" t="n">
        <f aca="false">H41-I41-J41-K41-L41-M41</f>
        <v>-250</v>
      </c>
      <c r="O41" s="29" t="n">
        <f aca="false">O40+N41</f>
        <v>3067.73902515504</v>
      </c>
    </row>
    <row r="42" customFormat="false" ht="15" hidden="false" customHeight="false" outlineLevel="0" collapsed="false">
      <c r="A42" s="34" t="n">
        <v>47543</v>
      </c>
      <c r="B42" s="35" t="n">
        <f aca="false">YEAR(A42)</f>
        <v>2030</v>
      </c>
      <c r="C42" s="35" t="n">
        <f aca="false">MONTH(A42)</f>
        <v>3</v>
      </c>
      <c r="D42" s="36" t="n">
        <f aca="false">INDEX(Inputs!$B$57:$B$68,C42)</f>
        <v>0.02</v>
      </c>
      <c r="E42" s="24" t="n">
        <f aca="false">INDEX($R$4:$R$7,MATCH(B42,$Q$4:$Q$7,0))</f>
        <v>71</v>
      </c>
      <c r="F42" s="24" t="n">
        <f aca="false">IF(B42=2027,Inputs!$B$53,0)</f>
        <v>0</v>
      </c>
      <c r="G42" s="23" t="n">
        <f aca="false">MAX(0,E42-IF(B42=2027,0,INDEX($R$4:$R$7,MATCH(B42-1,$Q$4:$Q$7,0)))*(1-Inputs!$B$44))</f>
        <v>31.8</v>
      </c>
      <c r="H42" s="29" t="n">
        <f aca="false">IF(C42=8,E42*Inputs!$B$5,0)</f>
        <v>0</v>
      </c>
      <c r="I42" s="30" t="n">
        <f aca="false">(E42+F42)*UnitEcon!$B$31*D42</f>
        <v>2.00221609627731</v>
      </c>
      <c r="J42" s="29" t="n">
        <f aca="false">(E42+F42)*(UnitEcon!$B$32+UnitEcon!$B$33)*D42+IF(C42=8,G42*Inputs!$B$38*Inputs!$B$37,0)</f>
        <v>227.2</v>
      </c>
      <c r="K42" s="29" t="n">
        <f aca="false">H42*Inputs!$B$6</f>
        <v>0</v>
      </c>
      <c r="L42" s="29" t="n">
        <f aca="false">IF(AND(C42&gt;=4,C42&lt;=7),G42*Inputs!$B$43/4,0)</f>
        <v>0</v>
      </c>
      <c r="M42" s="29" t="n">
        <f aca="false">Inputs!$B$48+IF(C42=7,Inputs!$B$49,0)+IF(AND(B42=2027,C42=1),Inputs!$B$50,0)</f>
        <v>250</v>
      </c>
      <c r="N42" s="29" t="n">
        <f aca="false">H42-I42-J42-K42-L42-M42</f>
        <v>-479.202216096277</v>
      </c>
      <c r="O42" s="29" t="n">
        <f aca="false">O41+N42</f>
        <v>2588.53680905877</v>
      </c>
    </row>
    <row r="43" customFormat="false" ht="15" hidden="false" customHeight="false" outlineLevel="0" collapsed="false">
      <c r="A43" s="34" t="n">
        <v>47574</v>
      </c>
      <c r="B43" s="35" t="n">
        <f aca="false">YEAR(A43)</f>
        <v>2030</v>
      </c>
      <c r="C43" s="35" t="n">
        <f aca="false">MONTH(A43)</f>
        <v>4</v>
      </c>
      <c r="D43" s="36" t="n">
        <f aca="false">INDEX(Inputs!$B$57:$B$68,C43)</f>
        <v>0.05</v>
      </c>
      <c r="E43" s="24" t="n">
        <f aca="false">INDEX($R$4:$R$7,MATCH(B43,$Q$4:$Q$7,0))</f>
        <v>71</v>
      </c>
      <c r="F43" s="24" t="n">
        <f aca="false">IF(B43=2027,Inputs!$B$53,0)</f>
        <v>0</v>
      </c>
      <c r="G43" s="23" t="n">
        <f aca="false">MAX(0,E43-IF(B43=2027,0,INDEX($R$4:$R$7,MATCH(B43-1,$Q$4:$Q$7,0)))*(1-Inputs!$B$44))</f>
        <v>31.8</v>
      </c>
      <c r="H43" s="29" t="n">
        <f aca="false">IF(C43=8,E43*Inputs!$B$5,0)</f>
        <v>0</v>
      </c>
      <c r="I43" s="30" t="n">
        <f aca="false">(E43+F43)*UnitEcon!$B$31*D43</f>
        <v>5.00554024069326</v>
      </c>
      <c r="J43" s="29" t="n">
        <f aca="false">(E43+F43)*(UnitEcon!$B$32+UnitEcon!$B$33)*D43+IF(C43=8,G43*Inputs!$B$38*Inputs!$B$37,0)</f>
        <v>568</v>
      </c>
      <c r="K43" s="29" t="n">
        <f aca="false">H43*Inputs!$B$6</f>
        <v>0</v>
      </c>
      <c r="L43" s="29" t="n">
        <f aca="false">IF(AND(C43&gt;=4,C43&lt;=7),G43*Inputs!$B$43/4,0)</f>
        <v>3180</v>
      </c>
      <c r="M43" s="29" t="n">
        <f aca="false">Inputs!$B$48+IF(C43=7,Inputs!$B$49,0)+IF(AND(B43=2027,C43=1),Inputs!$B$50,0)</f>
        <v>250</v>
      </c>
      <c r="N43" s="29" t="n">
        <f aca="false">H43-I43-J43-K43-L43-M43</f>
        <v>-4003.00554024069</v>
      </c>
      <c r="O43" s="29" t="n">
        <f aca="false">O42+N43</f>
        <v>-1414.46873118193</v>
      </c>
    </row>
    <row r="44" customFormat="false" ht="15" hidden="false" customHeight="false" outlineLevel="0" collapsed="false">
      <c r="A44" s="34" t="n">
        <v>47604</v>
      </c>
      <c r="B44" s="35" t="n">
        <f aca="false">YEAR(A44)</f>
        <v>2030</v>
      </c>
      <c r="C44" s="35" t="n">
        <f aca="false">MONTH(A44)</f>
        <v>5</v>
      </c>
      <c r="D44" s="36" t="n">
        <f aca="false">INDEX(Inputs!$B$57:$B$68,C44)</f>
        <v>0.03</v>
      </c>
      <c r="E44" s="24" t="n">
        <f aca="false">INDEX($R$4:$R$7,MATCH(B44,$Q$4:$Q$7,0))</f>
        <v>71</v>
      </c>
      <c r="F44" s="24" t="n">
        <f aca="false">IF(B44=2027,Inputs!$B$53,0)</f>
        <v>0</v>
      </c>
      <c r="G44" s="23" t="n">
        <f aca="false">MAX(0,E44-IF(B44=2027,0,INDEX($R$4:$R$7,MATCH(B44-1,$Q$4:$Q$7,0)))*(1-Inputs!$B$44))</f>
        <v>31.8</v>
      </c>
      <c r="H44" s="29" t="n">
        <f aca="false">IF(C44=8,E44*Inputs!$B$5,0)</f>
        <v>0</v>
      </c>
      <c r="I44" s="30" t="n">
        <f aca="false">(E44+F44)*UnitEcon!$B$31*D44</f>
        <v>3.00332414441596</v>
      </c>
      <c r="J44" s="29" t="n">
        <f aca="false">(E44+F44)*(UnitEcon!$B$32+UnitEcon!$B$33)*D44+IF(C44=8,G44*Inputs!$B$38*Inputs!$B$37,0)</f>
        <v>340.8</v>
      </c>
      <c r="K44" s="29" t="n">
        <f aca="false">H44*Inputs!$B$6</f>
        <v>0</v>
      </c>
      <c r="L44" s="29" t="n">
        <f aca="false">IF(AND(C44&gt;=4,C44&lt;=7),G44*Inputs!$B$43/4,0)</f>
        <v>3180</v>
      </c>
      <c r="M44" s="29" t="n">
        <f aca="false">Inputs!$B$48+IF(C44=7,Inputs!$B$49,0)+IF(AND(B44=2027,C44=1),Inputs!$B$50,0)</f>
        <v>250</v>
      </c>
      <c r="N44" s="29" t="n">
        <f aca="false">H44-I44-J44-K44-L44-M44</f>
        <v>-3773.80332414442</v>
      </c>
      <c r="O44" s="29" t="n">
        <f aca="false">O43+N44</f>
        <v>-5188.27205532634</v>
      </c>
    </row>
    <row r="45" customFormat="false" ht="15" hidden="false" customHeight="false" outlineLevel="0" collapsed="false">
      <c r="A45" s="34" t="n">
        <v>47635</v>
      </c>
      <c r="B45" s="35" t="n">
        <f aca="false">YEAR(A45)</f>
        <v>2030</v>
      </c>
      <c r="C45" s="35" t="n">
        <f aca="false">MONTH(A45)</f>
        <v>6</v>
      </c>
      <c r="D45" s="36" t="n">
        <f aca="false">INDEX(Inputs!$B$57:$B$68,C45)</f>
        <v>0.01</v>
      </c>
      <c r="E45" s="24" t="n">
        <f aca="false">INDEX($R$4:$R$7,MATCH(B45,$Q$4:$Q$7,0))</f>
        <v>71</v>
      </c>
      <c r="F45" s="24" t="n">
        <f aca="false">IF(B45=2027,Inputs!$B$53,0)</f>
        <v>0</v>
      </c>
      <c r="G45" s="23" t="n">
        <f aca="false">MAX(0,E45-IF(B45=2027,0,INDEX($R$4:$R$7,MATCH(B45-1,$Q$4:$Q$7,0)))*(1-Inputs!$B$44))</f>
        <v>31.8</v>
      </c>
      <c r="H45" s="29" t="n">
        <f aca="false">IF(C45=8,E45*Inputs!$B$5,0)</f>
        <v>0</v>
      </c>
      <c r="I45" s="30" t="n">
        <f aca="false">(E45+F45)*UnitEcon!$B$31*D45</f>
        <v>1.00110804813865</v>
      </c>
      <c r="J45" s="29" t="n">
        <f aca="false">(E45+F45)*(UnitEcon!$B$32+UnitEcon!$B$33)*D45+IF(C45=8,G45*Inputs!$B$38*Inputs!$B$37,0)</f>
        <v>113.6</v>
      </c>
      <c r="K45" s="29" t="n">
        <f aca="false">H45*Inputs!$B$6</f>
        <v>0</v>
      </c>
      <c r="L45" s="29" t="n">
        <f aca="false">IF(AND(C45&gt;=4,C45&lt;=7),G45*Inputs!$B$43/4,0)</f>
        <v>3180</v>
      </c>
      <c r="M45" s="29" t="n">
        <f aca="false">Inputs!$B$48+IF(C45=7,Inputs!$B$49,0)+IF(AND(B45=2027,C45=1),Inputs!$B$50,0)</f>
        <v>250</v>
      </c>
      <c r="N45" s="29" t="n">
        <f aca="false">H45-I45-J45-K45-L45-M45</f>
        <v>-3544.60110804814</v>
      </c>
      <c r="O45" s="29" t="n">
        <f aca="false">O44+N45</f>
        <v>-8732.87316337448</v>
      </c>
    </row>
    <row r="46" customFormat="false" ht="15" hidden="false" customHeight="false" outlineLevel="0" collapsed="false">
      <c r="A46" s="34" t="n">
        <v>47665</v>
      </c>
      <c r="B46" s="35" t="n">
        <f aca="false">YEAR(A46)</f>
        <v>2030</v>
      </c>
      <c r="C46" s="35" t="n">
        <f aca="false">MONTH(A46)</f>
        <v>7</v>
      </c>
      <c r="D46" s="36" t="n">
        <f aca="false">INDEX(Inputs!$B$57:$B$68,C46)</f>
        <v>0.01</v>
      </c>
      <c r="E46" s="24" t="n">
        <f aca="false">INDEX($R$4:$R$7,MATCH(B46,$Q$4:$Q$7,0))</f>
        <v>71</v>
      </c>
      <c r="F46" s="24" t="n">
        <f aca="false">IF(B46=2027,Inputs!$B$53,0)</f>
        <v>0</v>
      </c>
      <c r="G46" s="23" t="n">
        <f aca="false">MAX(0,E46-IF(B46=2027,0,INDEX($R$4:$R$7,MATCH(B46-1,$Q$4:$Q$7,0)))*(1-Inputs!$B$44))</f>
        <v>31.8</v>
      </c>
      <c r="H46" s="29" t="n">
        <f aca="false">IF(C46=8,E46*Inputs!$B$5,0)</f>
        <v>0</v>
      </c>
      <c r="I46" s="30" t="n">
        <f aca="false">(E46+F46)*UnitEcon!$B$31*D46</f>
        <v>1.00110804813865</v>
      </c>
      <c r="J46" s="29" t="n">
        <f aca="false">(E46+F46)*(UnitEcon!$B$32+UnitEcon!$B$33)*D46+IF(C46=8,G46*Inputs!$B$38*Inputs!$B$37,0)</f>
        <v>113.6</v>
      </c>
      <c r="K46" s="29" t="n">
        <f aca="false">H46*Inputs!$B$6</f>
        <v>0</v>
      </c>
      <c r="L46" s="29" t="n">
        <f aca="false">IF(AND(C46&gt;=4,C46&lt;=7),G46*Inputs!$B$43/4,0)</f>
        <v>3180</v>
      </c>
      <c r="M46" s="29" t="n">
        <f aca="false">Inputs!$B$48+IF(C46=7,Inputs!$B$49,0)+IF(AND(B46=2027,C46=1),Inputs!$B$50,0)</f>
        <v>3750</v>
      </c>
      <c r="N46" s="29" t="n">
        <f aca="false">H46-I46-J46-K46-L46-M46</f>
        <v>-7044.60110804814</v>
      </c>
      <c r="O46" s="29" t="n">
        <f aca="false">O45+N46</f>
        <v>-15777.4742714226</v>
      </c>
    </row>
    <row r="47" customFormat="false" ht="15" hidden="false" customHeight="false" outlineLevel="0" collapsed="false">
      <c r="A47" s="34" t="n">
        <v>47696</v>
      </c>
      <c r="B47" s="35" t="n">
        <f aca="false">YEAR(A47)</f>
        <v>2030</v>
      </c>
      <c r="C47" s="35" t="n">
        <f aca="false">MONTH(A47)</f>
        <v>8</v>
      </c>
      <c r="D47" s="36" t="n">
        <f aca="false">INDEX(Inputs!$B$57:$B$68,C47)</f>
        <v>0.1</v>
      </c>
      <c r="E47" s="24" t="n">
        <f aca="false">INDEX($R$4:$R$7,MATCH(B47,$Q$4:$Q$7,0))</f>
        <v>71</v>
      </c>
      <c r="F47" s="24" t="n">
        <f aca="false">IF(B47=2027,Inputs!$B$53,0)</f>
        <v>0</v>
      </c>
      <c r="G47" s="23" t="n">
        <f aca="false">MAX(0,E47-IF(B47=2027,0,INDEX($R$4:$R$7,MATCH(B47-1,$Q$4:$Q$7,0)))*(1-Inputs!$B$44))</f>
        <v>31.8</v>
      </c>
      <c r="H47" s="29" t="n">
        <f aca="false">IF(C47=8,E47*Inputs!$B$5,0)</f>
        <v>63900</v>
      </c>
      <c r="I47" s="30" t="n">
        <f aca="false">(E47+F47)*UnitEcon!$B$31*D47</f>
        <v>10.0110804813865</v>
      </c>
      <c r="J47" s="29" t="n">
        <f aca="false">(E47+F47)*(UnitEcon!$B$32+UnitEcon!$B$33)*D47+IF(C47=8,G47*Inputs!$B$38*Inputs!$B$37,0)</f>
        <v>4952</v>
      </c>
      <c r="K47" s="29" t="n">
        <f aca="false">H47*Inputs!$B$6</f>
        <v>1597.5</v>
      </c>
      <c r="L47" s="29" t="n">
        <f aca="false">IF(AND(C47&gt;=4,C47&lt;=7),G47*Inputs!$B$43/4,0)</f>
        <v>0</v>
      </c>
      <c r="M47" s="29" t="n">
        <f aca="false">Inputs!$B$48+IF(C47=7,Inputs!$B$49,0)+IF(AND(B47=2027,C47=1),Inputs!$B$50,0)</f>
        <v>250</v>
      </c>
      <c r="N47" s="29" t="n">
        <f aca="false">H47-I47-J47-K47-L47-M47</f>
        <v>57090.4889195186</v>
      </c>
      <c r="O47" s="29" t="n">
        <f aca="false">O46+N47</f>
        <v>41313.014648096</v>
      </c>
    </row>
    <row r="48" customFormat="false" ht="15" hidden="false" customHeight="false" outlineLevel="0" collapsed="false">
      <c r="A48" s="34" t="n">
        <v>47727</v>
      </c>
      <c r="B48" s="35" t="n">
        <f aca="false">YEAR(A48)</f>
        <v>2030</v>
      </c>
      <c r="C48" s="35" t="n">
        <f aca="false">MONTH(A48)</f>
        <v>9</v>
      </c>
      <c r="D48" s="36" t="n">
        <f aca="false">INDEX(Inputs!$B$57:$B$68,C48)</f>
        <v>0.25</v>
      </c>
      <c r="E48" s="24" t="n">
        <f aca="false">INDEX($R$4:$R$7,MATCH(B48,$Q$4:$Q$7,0))</f>
        <v>71</v>
      </c>
      <c r="F48" s="24" t="n">
        <f aca="false">IF(B48=2027,Inputs!$B$53,0)</f>
        <v>0</v>
      </c>
      <c r="G48" s="23" t="n">
        <f aca="false">MAX(0,E48-IF(B48=2027,0,INDEX($R$4:$R$7,MATCH(B48-1,$Q$4:$Q$7,0)))*(1-Inputs!$B$44))</f>
        <v>31.8</v>
      </c>
      <c r="H48" s="29" t="n">
        <f aca="false">IF(C48=8,E48*Inputs!$B$5,0)</f>
        <v>0</v>
      </c>
      <c r="I48" s="30" t="n">
        <f aca="false">(E48+F48)*UnitEcon!$B$31*D48</f>
        <v>25.0277012034663</v>
      </c>
      <c r="J48" s="29" t="n">
        <f aca="false">(E48+F48)*(UnitEcon!$B$32+UnitEcon!$B$33)*D48+IF(C48=8,G48*Inputs!$B$38*Inputs!$B$37,0)</f>
        <v>2840</v>
      </c>
      <c r="K48" s="29" t="n">
        <f aca="false">H48*Inputs!$B$6</f>
        <v>0</v>
      </c>
      <c r="L48" s="29" t="n">
        <f aca="false">IF(AND(C48&gt;=4,C48&lt;=7),G48*Inputs!$B$43/4,0)</f>
        <v>0</v>
      </c>
      <c r="M48" s="29" t="n">
        <f aca="false">Inputs!$B$48+IF(C48=7,Inputs!$B$49,0)+IF(AND(B48=2027,C48=1),Inputs!$B$50,0)</f>
        <v>250</v>
      </c>
      <c r="N48" s="29" t="n">
        <f aca="false">H48-I48-J48-K48-L48-M48</f>
        <v>-3115.02770120347</v>
      </c>
      <c r="O48" s="29" t="n">
        <f aca="false">O47+N48</f>
        <v>38197.9869468925</v>
      </c>
    </row>
    <row r="49" customFormat="false" ht="15" hidden="false" customHeight="false" outlineLevel="0" collapsed="false">
      <c r="A49" s="34" t="n">
        <v>47757</v>
      </c>
      <c r="B49" s="35" t="n">
        <f aca="false">YEAR(A49)</f>
        <v>2030</v>
      </c>
      <c r="C49" s="35" t="n">
        <f aca="false">MONTH(A49)</f>
        <v>10</v>
      </c>
      <c r="D49" s="36" t="n">
        <f aca="false">INDEX(Inputs!$B$57:$B$68,C49)</f>
        <v>0.27</v>
      </c>
      <c r="E49" s="24" t="n">
        <f aca="false">INDEX($R$4:$R$7,MATCH(B49,$Q$4:$Q$7,0))</f>
        <v>71</v>
      </c>
      <c r="F49" s="24" t="n">
        <f aca="false">IF(B49=2027,Inputs!$B$53,0)</f>
        <v>0</v>
      </c>
      <c r="G49" s="23" t="n">
        <f aca="false">MAX(0,E49-IF(B49=2027,0,INDEX($R$4:$R$7,MATCH(B49-1,$Q$4:$Q$7,0)))*(1-Inputs!$B$44))</f>
        <v>31.8</v>
      </c>
      <c r="H49" s="29" t="n">
        <f aca="false">IF(C49=8,E49*Inputs!$B$5,0)</f>
        <v>0</v>
      </c>
      <c r="I49" s="30" t="n">
        <f aca="false">(E49+F49)*UnitEcon!$B$31*D49</f>
        <v>27.0299172997436</v>
      </c>
      <c r="J49" s="29" t="n">
        <f aca="false">(E49+F49)*(UnitEcon!$B$32+UnitEcon!$B$33)*D49+IF(C49=8,G49*Inputs!$B$38*Inputs!$B$37,0)</f>
        <v>3067.2</v>
      </c>
      <c r="K49" s="29" t="n">
        <f aca="false">H49*Inputs!$B$6</f>
        <v>0</v>
      </c>
      <c r="L49" s="29" t="n">
        <f aca="false">IF(AND(C49&gt;=4,C49&lt;=7),G49*Inputs!$B$43/4,0)</f>
        <v>0</v>
      </c>
      <c r="M49" s="29" t="n">
        <f aca="false">Inputs!$B$48+IF(C49=7,Inputs!$B$49,0)+IF(AND(B49=2027,C49=1),Inputs!$B$50,0)</f>
        <v>250</v>
      </c>
      <c r="N49" s="29" t="n">
        <f aca="false">H49-I49-J49-K49-L49-M49</f>
        <v>-3344.22991729974</v>
      </c>
      <c r="O49" s="29" t="n">
        <f aca="false">O48+N49</f>
        <v>34853.7570295928</v>
      </c>
    </row>
    <row r="50" customFormat="false" ht="15" hidden="false" customHeight="false" outlineLevel="0" collapsed="false">
      <c r="A50" s="34" t="n">
        <v>47788</v>
      </c>
      <c r="B50" s="35" t="n">
        <f aca="false">YEAR(A50)</f>
        <v>2030</v>
      </c>
      <c r="C50" s="35" t="n">
        <f aca="false">MONTH(A50)</f>
        <v>11</v>
      </c>
      <c r="D50" s="36" t="n">
        <f aca="false">INDEX(Inputs!$B$57:$B$68,C50)</f>
        <v>0.2</v>
      </c>
      <c r="E50" s="24" t="n">
        <f aca="false">INDEX($R$4:$R$7,MATCH(B50,$Q$4:$Q$7,0))</f>
        <v>71</v>
      </c>
      <c r="F50" s="24" t="n">
        <f aca="false">IF(B50=2027,Inputs!$B$53,0)</f>
        <v>0</v>
      </c>
      <c r="G50" s="23" t="n">
        <f aca="false">MAX(0,E50-IF(B50=2027,0,INDEX($R$4:$R$7,MATCH(B50-1,$Q$4:$Q$7,0)))*(1-Inputs!$B$44))</f>
        <v>31.8</v>
      </c>
      <c r="H50" s="29" t="n">
        <f aca="false">IF(C50=8,E50*Inputs!$B$5,0)</f>
        <v>0</v>
      </c>
      <c r="I50" s="30" t="n">
        <f aca="false">(E50+F50)*UnitEcon!$B$31*D50</f>
        <v>20.0221609627731</v>
      </c>
      <c r="J50" s="29" t="n">
        <f aca="false">(E50+F50)*(UnitEcon!$B$32+UnitEcon!$B$33)*D50+IF(C50=8,G50*Inputs!$B$38*Inputs!$B$37,0)</f>
        <v>2272</v>
      </c>
      <c r="K50" s="29" t="n">
        <f aca="false">H50*Inputs!$B$6</f>
        <v>0</v>
      </c>
      <c r="L50" s="29" t="n">
        <f aca="false">IF(AND(C50&gt;=4,C50&lt;=7),G50*Inputs!$B$43/4,0)</f>
        <v>0</v>
      </c>
      <c r="M50" s="29" t="n">
        <f aca="false">Inputs!$B$48+IF(C50=7,Inputs!$B$49,0)+IF(AND(B50=2027,C50=1),Inputs!$B$50,0)</f>
        <v>250</v>
      </c>
      <c r="N50" s="29" t="n">
        <f aca="false">H50-I50-J50-K50-L50-M50</f>
        <v>-2542.02216096277</v>
      </c>
      <c r="O50" s="29" t="n">
        <f aca="false">O49+N50</f>
        <v>32311.73486863</v>
      </c>
    </row>
    <row r="51" customFormat="false" ht="15" hidden="false" customHeight="false" outlineLevel="0" collapsed="false">
      <c r="A51" s="34" t="n">
        <v>47818</v>
      </c>
      <c r="B51" s="35" t="n">
        <f aca="false">YEAR(A51)</f>
        <v>2030</v>
      </c>
      <c r="C51" s="35" t="n">
        <f aca="false">MONTH(A51)</f>
        <v>12</v>
      </c>
      <c r="D51" s="36" t="n">
        <f aca="false">INDEX(Inputs!$B$57:$B$68,C51)</f>
        <v>0.06</v>
      </c>
      <c r="E51" s="24" t="n">
        <f aca="false">INDEX($R$4:$R$7,MATCH(B51,$Q$4:$Q$7,0))</f>
        <v>71</v>
      </c>
      <c r="F51" s="24" t="n">
        <f aca="false">IF(B51=2027,Inputs!$B$53,0)</f>
        <v>0</v>
      </c>
      <c r="G51" s="23" t="n">
        <f aca="false">MAX(0,E51-IF(B51=2027,0,INDEX($R$4:$R$7,MATCH(B51-1,$Q$4:$Q$7,0)))*(1-Inputs!$B$44))</f>
        <v>31.8</v>
      </c>
      <c r="H51" s="29" t="n">
        <f aca="false">IF(C51=8,E51*Inputs!$B$5,0)</f>
        <v>0</v>
      </c>
      <c r="I51" s="30" t="n">
        <f aca="false">(E51+F51)*UnitEcon!$B$31*D51</f>
        <v>6.00664828883191</v>
      </c>
      <c r="J51" s="29" t="n">
        <f aca="false">(E51+F51)*(UnitEcon!$B$32+UnitEcon!$B$33)*D51+IF(C51=8,G51*Inputs!$B$38*Inputs!$B$37,0)</f>
        <v>681.6</v>
      </c>
      <c r="K51" s="29" t="n">
        <f aca="false">H51*Inputs!$B$6</f>
        <v>0</v>
      </c>
      <c r="L51" s="29" t="n">
        <f aca="false">IF(AND(C51&gt;=4,C51&lt;=7),G51*Inputs!$B$43/4,0)</f>
        <v>0</v>
      </c>
      <c r="M51" s="29" t="n">
        <f aca="false">Inputs!$B$48+IF(C51=7,Inputs!$B$49,0)+IF(AND(B51=2027,C51=1),Inputs!$B$50,0)</f>
        <v>250</v>
      </c>
      <c r="N51" s="29" t="n">
        <f aca="false">H51-I51-J51-K51-L51-M51</f>
        <v>-937.606648288832</v>
      </c>
      <c r="O51" s="29" t="n">
        <f aca="false">O50+N51</f>
        <v>31374.1282203412</v>
      </c>
    </row>
    <row r="53" customFormat="false" ht="15" hidden="false" customHeight="false" outlineLevel="0" collapsed="false">
      <c r="A53" s="32" t="s">
        <v>288</v>
      </c>
      <c r="H53" s="38" t="n">
        <f aca="false">SUM(H4:H51)</f>
        <v>134100</v>
      </c>
      <c r="I53" s="38" t="n">
        <f aca="false">SUM(I4:I51)</f>
        <v>221.371779658829</v>
      </c>
      <c r="J53" s="38" t="n">
        <f aca="false">SUM(J4:J51)</f>
        <v>35512</v>
      </c>
      <c r="K53" s="38" t="n">
        <f aca="false">SUM(K4:K51)</f>
        <v>3352.5</v>
      </c>
      <c r="L53" s="38" t="n">
        <f aca="false">SUM(L4:L51)</f>
        <v>34640</v>
      </c>
      <c r="M53" s="38" t="n">
        <f aca="false">SUM(M4:M51)</f>
        <v>29000</v>
      </c>
      <c r="N53" s="38" t="n">
        <f aca="false">SUM(N4:N51)</f>
        <v>31374.1282203412</v>
      </c>
    </row>
    <row r="54" customFormat="false" ht="15" hidden="false" customHeight="false" outlineLevel="0" collapsed="false">
      <c r="A54" s="32" t="s">
        <v>289</v>
      </c>
      <c r="O54" s="38" t="n">
        <f aca="false">MIN(O4:O51)</f>
        <v>-28202.9869301305</v>
      </c>
    </row>
    <row r="55" customFormat="false" ht="15" hidden="false" customHeight="false" outlineLevel="0" collapsed="false">
      <c r="A55" s="2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291</v>
      </c>
    </row>
    <row r="3" customFormat="false" ht="26.85" hidden="false" customHeight="false" outlineLevel="0" collapsed="false">
      <c r="A3" s="22" t="s">
        <v>292</v>
      </c>
      <c r="B3" s="22" t="s">
        <v>293</v>
      </c>
      <c r="C3" s="22" t="s">
        <v>294</v>
      </c>
      <c r="D3" s="22" t="s">
        <v>295</v>
      </c>
      <c r="E3" s="22" t="s">
        <v>296</v>
      </c>
      <c r="F3" s="22" t="s">
        <v>297</v>
      </c>
      <c r="G3" s="22" t="s">
        <v>298</v>
      </c>
    </row>
    <row r="4" customFormat="false" ht="15" hidden="false" customHeight="false" outlineLevel="0" collapsed="false">
      <c r="A4" s="2" t="s">
        <v>299</v>
      </c>
      <c r="B4" s="10" t="n">
        <v>14269</v>
      </c>
      <c r="C4" s="28" t="n">
        <f aca="false">Inputs!$B$5</f>
        <v>900</v>
      </c>
      <c r="D4" s="29" t="n">
        <f aca="false">B4*C4</f>
        <v>12842100</v>
      </c>
      <c r="E4" s="29" t="n">
        <f aca="false">D4*0.05</f>
        <v>642105</v>
      </c>
      <c r="F4" s="29" t="n">
        <f aca="false">D4*0.15</f>
        <v>1926315</v>
      </c>
      <c r="G4" s="2" t="s">
        <v>300</v>
      </c>
    </row>
    <row r="5" customFormat="false" ht="15" hidden="false" customHeight="false" outlineLevel="0" collapsed="false">
      <c r="A5" s="2" t="s">
        <v>301</v>
      </c>
      <c r="B5" s="10" t="n">
        <v>1104</v>
      </c>
      <c r="C5" s="28" t="n">
        <f aca="false">Inputs!$B$5</f>
        <v>900</v>
      </c>
      <c r="D5" s="29" t="n">
        <f aca="false">B5*C5</f>
        <v>993600</v>
      </c>
      <c r="E5" s="29" t="n">
        <f aca="false">D5*0.05</f>
        <v>49680</v>
      </c>
      <c r="F5" s="29" t="n">
        <f aca="false">D5*0.15</f>
        <v>149040</v>
      </c>
      <c r="G5" s="2" t="s">
        <v>302</v>
      </c>
    </row>
    <row r="6" customFormat="false" ht="15" hidden="false" customHeight="false" outlineLevel="0" collapsed="false">
      <c r="A6" s="2" t="s">
        <v>303</v>
      </c>
      <c r="B6" s="10" t="n">
        <v>154</v>
      </c>
      <c r="C6" s="16" t="n">
        <v>400</v>
      </c>
      <c r="D6" s="29" t="n">
        <f aca="false">B6*C6</f>
        <v>61600</v>
      </c>
      <c r="E6" s="29" t="n">
        <f aca="false">D6*0.05</f>
        <v>3080</v>
      </c>
      <c r="F6" s="29" t="n">
        <f aca="false">D6*0.15</f>
        <v>9240</v>
      </c>
      <c r="G6" s="2" t="s">
        <v>304</v>
      </c>
    </row>
    <row r="7" customFormat="false" ht="15" hidden="false" customHeight="false" outlineLevel="0" collapsed="false">
      <c r="A7" s="2" t="s">
        <v>305</v>
      </c>
      <c r="B7" s="10" t="n">
        <v>496</v>
      </c>
      <c r="C7" s="16" t="n">
        <v>2500</v>
      </c>
      <c r="D7" s="29" t="n">
        <f aca="false">B7*C7</f>
        <v>1240000</v>
      </c>
      <c r="E7" s="29" t="n">
        <f aca="false">D7*0.05</f>
        <v>62000</v>
      </c>
      <c r="F7" s="29" t="n">
        <f aca="false">D7*0.15</f>
        <v>186000</v>
      </c>
      <c r="G7" s="2" t="s">
        <v>306</v>
      </c>
    </row>
    <row r="9" customFormat="false" ht="15" hidden="false" customHeight="false" outlineLevel="0" collapsed="false">
      <c r="A9" s="32" t="s">
        <v>307</v>
      </c>
    </row>
    <row r="10" customFormat="false" ht="15" hidden="false" customHeight="false" outlineLevel="0" collapsed="false">
      <c r="A10" s="2" t="s">
        <v>308</v>
      </c>
      <c r="B10" s="16" t="n">
        <v>8700</v>
      </c>
    </row>
    <row r="11" customFormat="false" ht="15" hidden="false" customHeight="false" outlineLevel="0" collapsed="false">
      <c r="A11" s="2" t="s">
        <v>309</v>
      </c>
      <c r="B11" s="16" t="n">
        <f aca="false">139500/9</f>
        <v>15500</v>
      </c>
    </row>
    <row r="12" customFormat="false" ht="15" hidden="false" customHeight="false" outlineLevel="0" collapsed="false">
      <c r="A12" s="2" t="s">
        <v>310</v>
      </c>
      <c r="B12" s="29" t="n">
        <f aca="false">B4*B10</f>
        <v>124140300</v>
      </c>
    </row>
    <row r="13" customFormat="false" ht="15" hidden="false" customHeight="false" outlineLevel="0" collapsed="false">
      <c r="A13" s="2" t="s">
        <v>311</v>
      </c>
      <c r="B13" s="29" t="n">
        <f aca="false">B4*B11</f>
        <v>221169500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2" t="s">
        <v>313</v>
      </c>
    </row>
    <row r="4" customFormat="false" ht="15" hidden="false" customHeight="false" outlineLevel="0" collapsed="false">
      <c r="A4" s="32" t="s">
        <v>314</v>
      </c>
    </row>
    <row r="5" customFormat="false" ht="39.55" hidden="false" customHeight="false" outlineLevel="0" collapsed="false">
      <c r="A5" s="22" t="s">
        <v>315</v>
      </c>
      <c r="B5" s="22" t="s">
        <v>316</v>
      </c>
      <c r="C5" s="22" t="s">
        <v>317</v>
      </c>
      <c r="D5" s="22" t="s">
        <v>318</v>
      </c>
      <c r="E5" s="22" t="s">
        <v>319</v>
      </c>
      <c r="F5" s="22" t="s">
        <v>320</v>
      </c>
    </row>
    <row r="6" customFormat="false" ht="15" hidden="false" customHeight="false" outlineLevel="0" collapsed="false">
      <c r="A6" s="2" t="s">
        <v>321</v>
      </c>
      <c r="B6" s="10" t="n">
        <v>20</v>
      </c>
      <c r="C6" s="10" t="n">
        <v>38</v>
      </c>
      <c r="D6" s="10" t="n">
        <v>62</v>
      </c>
      <c r="E6" s="10" t="n">
        <v>40</v>
      </c>
      <c r="F6" s="10" t="n">
        <v>39</v>
      </c>
    </row>
    <row r="7" customFormat="false" ht="15" hidden="false" customHeight="false" outlineLevel="0" collapsed="false">
      <c r="A7" s="2" t="s">
        <v>322</v>
      </c>
      <c r="B7" s="10" t="n">
        <v>14</v>
      </c>
      <c r="C7" s="10" t="n">
        <v>29</v>
      </c>
      <c r="D7" s="10" t="n">
        <v>48</v>
      </c>
      <c r="E7" s="10" t="n">
        <v>29</v>
      </c>
      <c r="F7" s="10" t="n">
        <v>0</v>
      </c>
    </row>
    <row r="8" customFormat="false" ht="15" hidden="false" customHeight="false" outlineLevel="0" collapsed="false">
      <c r="A8" s="2" t="s">
        <v>323</v>
      </c>
      <c r="B8" s="10" t="n">
        <v>25</v>
      </c>
      <c r="C8" s="10" t="n">
        <v>49</v>
      </c>
      <c r="D8" s="10" t="n">
        <v>79</v>
      </c>
      <c r="E8" s="10" t="n">
        <v>0</v>
      </c>
      <c r="F8" s="10" t="n">
        <v>0</v>
      </c>
    </row>
    <row r="9" customFormat="false" ht="15" hidden="false" customHeight="false" outlineLevel="0" collapsed="false">
      <c r="A9" s="2" t="s">
        <v>324</v>
      </c>
      <c r="B9" s="10" t="n">
        <v>38</v>
      </c>
      <c r="C9" s="10" t="n">
        <v>71</v>
      </c>
      <c r="D9" s="10" t="n">
        <v>114</v>
      </c>
      <c r="E9" s="10" t="n">
        <v>0</v>
      </c>
      <c r="F9" s="10" t="n">
        <v>0</v>
      </c>
    </row>
    <row r="10" customFormat="false" ht="15" hidden="false" customHeight="false" outlineLevel="0" collapsed="false">
      <c r="A10" s="2" t="s">
        <v>325</v>
      </c>
    </row>
    <row r="12" customFormat="false" ht="15" hidden="false" customHeight="false" outlineLevel="0" collapsed="false">
      <c r="A12" s="32" t="s">
        <v>326</v>
      </c>
    </row>
    <row r="13" customFormat="false" ht="15" hidden="false" customHeight="false" outlineLevel="0" collapsed="false">
      <c r="A13" s="22" t="s">
        <v>327</v>
      </c>
      <c r="B13" s="22" t="s">
        <v>244</v>
      </c>
      <c r="C13" s="22" t="s">
        <v>245</v>
      </c>
      <c r="D13" s="22" t="s">
        <v>246</v>
      </c>
      <c r="E13" s="22" t="s">
        <v>247</v>
      </c>
      <c r="F13" s="22" t="s">
        <v>248</v>
      </c>
    </row>
    <row r="14" customFormat="false" ht="15" hidden="false" customHeight="false" outlineLevel="0" collapsed="false">
      <c r="A14" s="7" t="n">
        <v>0.85</v>
      </c>
      <c r="B14" s="10" t="n">
        <v>29</v>
      </c>
      <c r="C14" s="10" t="n">
        <v>18</v>
      </c>
      <c r="D14" s="10" t="n">
        <v>10</v>
      </c>
      <c r="E14" s="10" t="n">
        <v>6</v>
      </c>
      <c r="F14" s="10" t="n">
        <v>2</v>
      </c>
    </row>
    <row r="15" customFormat="false" ht="15" hidden="false" customHeight="false" outlineLevel="0" collapsed="false">
      <c r="A15" s="7" t="n">
        <v>0.9</v>
      </c>
      <c r="B15" s="10" t="n">
        <v>90</v>
      </c>
      <c r="C15" s="10" t="n">
        <v>56</v>
      </c>
      <c r="D15" s="10" t="n">
        <v>36</v>
      </c>
      <c r="E15" s="10" t="n">
        <v>23</v>
      </c>
      <c r="F15" s="10" t="n">
        <v>10</v>
      </c>
    </row>
    <row r="16" customFormat="false" ht="15" hidden="false" customHeight="false" outlineLevel="0" collapsed="false">
      <c r="A16" s="7" t="n">
        <v>0.93</v>
      </c>
      <c r="B16" s="10" t="n">
        <v>138</v>
      </c>
      <c r="C16" s="10" t="n">
        <v>92</v>
      </c>
      <c r="D16" s="10" t="n">
        <v>61</v>
      </c>
      <c r="E16" s="10" t="n">
        <v>40</v>
      </c>
      <c r="F16" s="10" t="n">
        <v>19</v>
      </c>
    </row>
    <row r="17" customFormat="false" ht="15" hidden="false" customHeight="false" outlineLevel="0" collapsed="false">
      <c r="A17" s="7" t="n">
        <v>0.95</v>
      </c>
      <c r="B17" s="10" t="n">
        <v>150</v>
      </c>
      <c r="C17" s="10" t="n">
        <v>104</v>
      </c>
      <c r="D17" s="10" t="n">
        <v>71</v>
      </c>
      <c r="E17" s="10" t="n">
        <v>49</v>
      </c>
      <c r="F17" s="10" t="n">
        <v>24</v>
      </c>
    </row>
    <row r="18" customFormat="false" ht="15" hidden="false" customHeight="false" outlineLevel="0" collapsed="false">
      <c r="A18" s="7" t="n">
        <v>0.97</v>
      </c>
      <c r="B18" s="10" t="n">
        <v>157</v>
      </c>
      <c r="C18" s="10" t="n">
        <v>112</v>
      </c>
      <c r="D18" s="10" t="n">
        <v>78</v>
      </c>
      <c r="E18" s="10" t="n">
        <v>55</v>
      </c>
      <c r="F18" s="10" t="n">
        <v>28</v>
      </c>
    </row>
    <row r="20" customFormat="false" ht="15" hidden="false" customHeight="false" outlineLevel="0" collapsed="false">
      <c r="A20" s="32" t="s">
        <v>328</v>
      </c>
    </row>
    <row r="21" customFormat="false" ht="15" hidden="false" customHeight="false" outlineLevel="0" collapsed="false">
      <c r="A21" s="22" t="s">
        <v>327</v>
      </c>
      <c r="B21" s="22" t="s">
        <v>244</v>
      </c>
      <c r="C21" s="22" t="s">
        <v>245</v>
      </c>
      <c r="D21" s="22" t="s">
        <v>246</v>
      </c>
      <c r="E21" s="22" t="s">
        <v>247</v>
      </c>
      <c r="F21" s="22" t="s">
        <v>248</v>
      </c>
    </row>
    <row r="22" customFormat="false" ht="15" hidden="false" customHeight="false" outlineLevel="0" collapsed="false">
      <c r="A22" s="18" t="n">
        <f aca="false">A14</f>
        <v>0.85</v>
      </c>
      <c r="B22" s="29" t="n">
        <f aca="false">B14*300</f>
        <v>8700</v>
      </c>
      <c r="C22" s="29" t="n">
        <f aca="false">C14*600</f>
        <v>10800</v>
      </c>
      <c r="D22" s="29" t="n">
        <f aca="false">D14*900</f>
        <v>9000</v>
      </c>
      <c r="E22" s="29" t="n">
        <f aca="false">E14*1200</f>
        <v>7200</v>
      </c>
      <c r="F22" s="29" t="n">
        <f aca="false">F14*1800</f>
        <v>3600</v>
      </c>
    </row>
    <row r="23" customFormat="false" ht="15" hidden="false" customHeight="false" outlineLevel="0" collapsed="false">
      <c r="A23" s="18" t="n">
        <f aca="false">A15</f>
        <v>0.9</v>
      </c>
      <c r="B23" s="29" t="n">
        <f aca="false">B15*300</f>
        <v>27000</v>
      </c>
      <c r="C23" s="29" t="n">
        <f aca="false">C15*600</f>
        <v>33600</v>
      </c>
      <c r="D23" s="29" t="n">
        <f aca="false">D15*900</f>
        <v>32400</v>
      </c>
      <c r="E23" s="29" t="n">
        <f aca="false">E15*1200</f>
        <v>27600</v>
      </c>
      <c r="F23" s="29" t="n">
        <f aca="false">F15*1800</f>
        <v>18000</v>
      </c>
    </row>
    <row r="24" customFormat="false" ht="15" hidden="false" customHeight="false" outlineLevel="0" collapsed="false">
      <c r="A24" s="18" t="n">
        <f aca="false">A16</f>
        <v>0.93</v>
      </c>
      <c r="B24" s="29" t="n">
        <f aca="false">B16*300</f>
        <v>41400</v>
      </c>
      <c r="C24" s="29" t="n">
        <f aca="false">C16*600</f>
        <v>55200</v>
      </c>
      <c r="D24" s="29" t="n">
        <f aca="false">D16*900</f>
        <v>54900</v>
      </c>
      <c r="E24" s="29" t="n">
        <f aca="false">E16*1200</f>
        <v>48000</v>
      </c>
      <c r="F24" s="29" t="n">
        <f aca="false">F16*1800</f>
        <v>34200</v>
      </c>
    </row>
    <row r="25" customFormat="false" ht="15" hidden="false" customHeight="false" outlineLevel="0" collapsed="false">
      <c r="A25" s="18" t="n">
        <f aca="false">A17</f>
        <v>0.95</v>
      </c>
      <c r="B25" s="29" t="n">
        <f aca="false">B17*300</f>
        <v>45000</v>
      </c>
      <c r="C25" s="29" t="n">
        <f aca="false">C17*600</f>
        <v>62400</v>
      </c>
      <c r="D25" s="29" t="n">
        <f aca="false">D17*900</f>
        <v>63900</v>
      </c>
      <c r="E25" s="29" t="n">
        <f aca="false">E17*1200</f>
        <v>58800</v>
      </c>
      <c r="F25" s="29" t="n">
        <f aca="false">F17*1800</f>
        <v>43200</v>
      </c>
    </row>
    <row r="26" customFormat="false" ht="15" hidden="false" customHeight="false" outlineLevel="0" collapsed="false">
      <c r="A26" s="18" t="n">
        <f aca="false">A18</f>
        <v>0.97</v>
      </c>
      <c r="B26" s="29" t="n">
        <f aca="false">B18*300</f>
        <v>47100</v>
      </c>
      <c r="C26" s="29" t="n">
        <f aca="false">C18*600</f>
        <v>67200</v>
      </c>
      <c r="D26" s="29" t="n">
        <f aca="false">D18*900</f>
        <v>70200</v>
      </c>
      <c r="E26" s="29" t="n">
        <f aca="false">E18*1200</f>
        <v>66000</v>
      </c>
      <c r="F26" s="29" t="n">
        <f aca="false">F18*1800</f>
        <v>50400</v>
      </c>
    </row>
    <row r="28" customFormat="false" ht="15" hidden="false" customHeight="false" outlineLevel="0" collapsed="false">
      <c r="A28" s="32" t="s">
        <v>329</v>
      </c>
    </row>
    <row r="29" customFormat="false" ht="15" hidden="false" customHeight="false" outlineLevel="0" collapsed="false">
      <c r="A29" s="22" t="s">
        <v>327</v>
      </c>
      <c r="B29" s="22" t="s">
        <v>244</v>
      </c>
      <c r="C29" s="22" t="s">
        <v>245</v>
      </c>
      <c r="D29" s="22" t="s">
        <v>246</v>
      </c>
      <c r="E29" s="22" t="s">
        <v>247</v>
      </c>
      <c r="F29" s="22" t="s">
        <v>248</v>
      </c>
    </row>
    <row r="30" customFormat="false" ht="15" hidden="false" customHeight="false" outlineLevel="0" collapsed="false">
      <c r="A30" s="7" t="n">
        <v>0.85</v>
      </c>
      <c r="B30" s="10" t="n">
        <v>1</v>
      </c>
      <c r="C30" s="10" t="n">
        <v>0</v>
      </c>
      <c r="D30" s="10" t="n">
        <v>0</v>
      </c>
      <c r="E30" s="10" t="n">
        <v>0</v>
      </c>
      <c r="F30" s="10" t="n">
        <v>0</v>
      </c>
    </row>
    <row r="31" customFormat="false" ht="15" hidden="false" customHeight="false" outlineLevel="0" collapsed="false">
      <c r="A31" s="7" t="n">
        <v>0.9</v>
      </c>
      <c r="B31" s="10" t="n">
        <v>4</v>
      </c>
      <c r="C31" s="10" t="n">
        <v>1</v>
      </c>
      <c r="D31" s="10" t="n">
        <v>0</v>
      </c>
      <c r="E31" s="10" t="n">
        <v>0</v>
      </c>
      <c r="F31" s="10" t="n">
        <v>0</v>
      </c>
    </row>
    <row r="32" customFormat="false" ht="15" hidden="false" customHeight="false" outlineLevel="0" collapsed="false">
      <c r="A32" s="7" t="n">
        <v>0.93</v>
      </c>
      <c r="B32" s="10" t="n">
        <v>5</v>
      </c>
      <c r="C32" s="10" t="n">
        <v>1</v>
      </c>
      <c r="D32" s="10" t="n">
        <v>0</v>
      </c>
      <c r="E32" s="10" t="n">
        <v>0</v>
      </c>
      <c r="F32" s="10" t="n">
        <v>0</v>
      </c>
    </row>
    <row r="33" customFormat="false" ht="15" hidden="false" customHeight="false" outlineLevel="0" collapsed="false">
      <c r="A33" s="7" t="n">
        <v>0.95</v>
      </c>
      <c r="B33" s="10" t="n">
        <v>5</v>
      </c>
      <c r="C33" s="10" t="n">
        <v>1</v>
      </c>
      <c r="D33" s="10" t="n">
        <v>0</v>
      </c>
      <c r="E33" s="10" t="n">
        <v>0</v>
      </c>
      <c r="F33" s="10" t="n">
        <v>0</v>
      </c>
    </row>
    <row r="34" customFormat="false" ht="15" hidden="false" customHeight="false" outlineLevel="0" collapsed="false">
      <c r="A34" s="7" t="n">
        <v>0.97</v>
      </c>
      <c r="B34" s="10" t="n">
        <v>5</v>
      </c>
      <c r="C34" s="10" t="n">
        <v>1</v>
      </c>
      <c r="D34" s="10" t="n">
        <v>0</v>
      </c>
      <c r="E34" s="10" t="n">
        <v>0</v>
      </c>
      <c r="F34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2026-10-23T06:26:11Z</dcterms:created>
  <dc:creator>openpyxl</dc:creator>
  <dc:description/>
  <dc:language>en-US</dc:language>
  <cp:lastModifiedBy/>
  <dcterms:modified xsi:type="dcterms:W3CDTF">2026-10-23T06:26:11Z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